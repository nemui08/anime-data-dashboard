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rojectp\anime_data\dashboard\"/>
    </mc:Choice>
  </mc:AlternateContent>
  <bookViews>
    <workbookView xWindow="0" yWindow="0" windowWidth="28800" windowHeight="13020" activeTab="4"/>
  </bookViews>
  <sheets>
    <sheet name="raw_data" sheetId="1" r:id="rId1"/>
    <sheet name="top_rank" sheetId="2" r:id="rId2"/>
    <sheet name="top_duration" sheetId="3" r:id="rId3"/>
    <sheet name="pivot_data" sheetId="8" r:id="rId4"/>
    <sheet name="dashboard" sheetId="5" r:id="rId5"/>
  </sheets>
  <definedNames>
    <definedName name="_xlcn.WorksheetConnection_anime_dashboard.xlsxanime_table" hidden="1">anime_table[]</definedName>
    <definedName name="Slicer_genres">#N/A</definedName>
    <definedName name="Slicer_status">#N/A</definedName>
    <definedName name="Slicer_year">#N/A</definedName>
  </definedNames>
  <calcPr calcId="152511"/>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nime_table-7677d0fd-ca78-47e5-b6a0-61ac6cd729b2" name="anime_table" connection="WorksheetConnection_anime_dashboard.xlsx!anime_table"/>
        </x15:modelTables>
      </x15:dataModel>
    </ext>
  </extLst>
</workbook>
</file>

<file path=xl/calcChain.xml><?xml version="1.0" encoding="utf-8"?>
<calcChain xmlns="http://schemas.openxmlformats.org/spreadsheetml/2006/main">
  <c r="K5" i="5" l="1"/>
  <c r="C5" i="5"/>
  <c r="A5" i="5"/>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anime_dashboard.xlsx!anime_table" type="102" refreshedVersion="5" minRefreshableVersion="5">
    <extLst>
      <ext xmlns:x15="http://schemas.microsoft.com/office/spreadsheetml/2010/11/main" uri="{DE250136-89BD-433C-8126-D09CA5730AF9}">
        <x15:connection id="anime_table-7677d0fd-ca78-47e5-b6a0-61ac6cd729b2" autoDelete="1">
          <x15:rangePr sourceName="_xlcn.WorksheetConnection_anime_dashboard.xlsxanime_table"/>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nime_table].[status].[All]}"/>
  </metadataStrings>
  <mdxMetadata count="1">
    <mdx n="0" f="s">
      <ms ns="1" c="0"/>
    </mdx>
  </mdxMetadata>
  <valueMetadata count="1">
    <bk>
      <rc t="1" v="0"/>
    </bk>
  </valueMetadata>
</metadata>
</file>

<file path=xl/sharedStrings.xml><?xml version="1.0" encoding="utf-8"?>
<sst xmlns="http://schemas.openxmlformats.org/spreadsheetml/2006/main" count="1105" uniqueCount="163">
  <si>
    <t>title</t>
  </si>
  <si>
    <t>score</t>
  </si>
  <si>
    <t>episodes</t>
  </si>
  <si>
    <t>rank</t>
  </si>
  <si>
    <t>popularity</t>
  </si>
  <si>
    <t>year</t>
  </si>
  <si>
    <t>status</t>
  </si>
  <si>
    <t>start_date</t>
  </si>
  <si>
    <t>end_date</t>
  </si>
  <si>
    <t>genres</t>
  </si>
  <si>
    <t>duration_days</t>
  </si>
  <si>
    <t>Frieren: Beyond Journey's End</t>
  </si>
  <si>
    <t>Finished Airing</t>
  </si>
  <si>
    <t>Adventure</t>
  </si>
  <si>
    <t>Award Winning</t>
  </si>
  <si>
    <t>Drama</t>
  </si>
  <si>
    <t>Fantasy</t>
  </si>
  <si>
    <t>Steel Ball Run: JoJo's Bizarre Adventure</t>
  </si>
  <si>
    <t>Currently Airing</t>
  </si>
  <si>
    <t>Action</t>
  </si>
  <si>
    <t>Mystery</t>
  </si>
  <si>
    <t>Supernatural</t>
  </si>
  <si>
    <t>Fullmetal Alchemist: Brotherhood</t>
  </si>
  <si>
    <t>Chainsaw Man – The Movie: Reze Arc</t>
  </si>
  <si>
    <t>Steins;Gate</t>
  </si>
  <si>
    <t>Sci-Fi</t>
  </si>
  <si>
    <t>Suspense</t>
  </si>
  <si>
    <t>Attack on Titan Season 3 Part 2</t>
  </si>
  <si>
    <t>Gintama Season 4</t>
  </si>
  <si>
    <t>Comedy</t>
  </si>
  <si>
    <t>Gintama: The Very Final</t>
  </si>
  <si>
    <t>Hunter x Hunter</t>
  </si>
  <si>
    <t>One Piece Fan Letter</t>
  </si>
  <si>
    <t>Gintama Season 2</t>
  </si>
  <si>
    <t>Gintama: Enchousen</t>
  </si>
  <si>
    <t>Legend of the Galactic Heroes</t>
  </si>
  <si>
    <t>Gintama Season 5</t>
  </si>
  <si>
    <t>Bleach: Thousand-Year Blood War</t>
  </si>
  <si>
    <t>Frieren: Beyond Journey's End Season 2</t>
  </si>
  <si>
    <t>Kaguya-sama: Love is War -Ultra Romantic-</t>
  </si>
  <si>
    <t>Romance</t>
  </si>
  <si>
    <t>Fruits Basket: The Final Season</t>
  </si>
  <si>
    <t>Clannad: After Story</t>
  </si>
  <si>
    <t>Gintama</t>
  </si>
  <si>
    <t>A Silent Voice</t>
  </si>
  <si>
    <t>Code Geass: Lelouch of the Rebellion R2</t>
  </si>
  <si>
    <t>The Apothecary Diaries Season 2</t>
  </si>
  <si>
    <t>March Comes In Like a Lion 2nd Season</t>
  </si>
  <si>
    <t>Gintama: The Movie: The Final Chapter: Be Forever Yorozuya</t>
  </si>
  <si>
    <t>Monster</t>
  </si>
  <si>
    <t>Gintama. Silver Soul Arc - Second Half War</t>
  </si>
  <si>
    <t>Attack on Titan: Final Season - The Final Chapters</t>
  </si>
  <si>
    <t>Owarimonogatari Second Season</t>
  </si>
  <si>
    <t>The Apothecary Diaries</t>
  </si>
  <si>
    <t>Kingdom Season 3</t>
  </si>
  <si>
    <t>Attack on Titan: The Last Attack</t>
  </si>
  <si>
    <t>Violet Evergarden: The Movie</t>
  </si>
  <si>
    <t>Vinland Saga Season 2</t>
  </si>
  <si>
    <t>Your Name.</t>
  </si>
  <si>
    <t>Journal with Witch</t>
  </si>
  <si>
    <t>Gintama. Silver Soul Arc</t>
  </si>
  <si>
    <t>Tomorrow's Joe 2</t>
  </si>
  <si>
    <t>Sports</t>
  </si>
  <si>
    <t>Attack on Titan: Final Season</t>
  </si>
  <si>
    <t>Mob Psycho 100 II</t>
  </si>
  <si>
    <t>Kizumonogatari Part 3: Cold-Blooded</t>
  </si>
  <si>
    <t>Vinland Saga</t>
  </si>
  <si>
    <t>Fighting Spirit</t>
  </si>
  <si>
    <t>Haikyu!! 3rd Season</t>
  </si>
  <si>
    <t>Spirited Away</t>
  </si>
  <si>
    <t>Attack on Titan: Final Season Part 2</t>
  </si>
  <si>
    <t>Takopi's Original Sin</t>
  </si>
  <si>
    <t>Monogatari Series: Second Season</t>
  </si>
  <si>
    <t>Cowboy Bebop</t>
  </si>
  <si>
    <t>[Oshi No Ko] Season 3</t>
  </si>
  <si>
    <t>Kingdom Season 5</t>
  </si>
  <si>
    <t>Sound! Euphonium 3</t>
  </si>
  <si>
    <t>Bocchi the Rock!</t>
  </si>
  <si>
    <t>Kingdom Season 4</t>
  </si>
  <si>
    <t>One Piece</t>
  </si>
  <si>
    <t>My Hero Academia Final Season</t>
  </si>
  <si>
    <t>Orb: On the Movements of the Earth</t>
  </si>
  <si>
    <t>Kaguya-sama: Love is War -The First Kiss That Never Ends-</t>
  </si>
  <si>
    <t>Mushi-shi: Next Passage Part 2</t>
  </si>
  <si>
    <t>Slice of Life</t>
  </si>
  <si>
    <t>Mob Psycho 100 III</t>
  </si>
  <si>
    <t>86 Eighty-Six Part 2</t>
  </si>
  <si>
    <t>Code Geass: Lelouch of the Rebellion</t>
  </si>
  <si>
    <t>The First Slam Dunk</t>
  </si>
  <si>
    <t>Jujutsu Kaisen Season 2</t>
  </si>
  <si>
    <t>The Dangers in My Heart Season 2</t>
  </si>
  <si>
    <t>Bleach: Thousand-Year Blood War - The Separation</t>
  </si>
  <si>
    <t>Descending Stories: Showa Genroku Rakugo Shinju</t>
  </si>
  <si>
    <t>Link Click</t>
  </si>
  <si>
    <t>Demon Slayer: Kimetsu no Yaiba Entertainment District Arc</t>
  </si>
  <si>
    <t>Mushi-shi: Next Passage Part 1</t>
  </si>
  <si>
    <t>Violet Evergarden</t>
  </si>
  <si>
    <t>Samurai X: Trust and Betrayal</t>
  </si>
  <si>
    <t>Kingdom Season 6</t>
  </si>
  <si>
    <t>To Be Hero X</t>
  </si>
  <si>
    <t>Great Teacher Onizuka</t>
  </si>
  <si>
    <t>Umamusume: Cinderella Gray Part 2</t>
  </si>
  <si>
    <t>Demon Slayer: Kimetsu no Yaiba - The Movie: Infinity Castle - Part 1: Akaza Returns</t>
  </si>
  <si>
    <t>Jujutsu Kaisen: The Culling Game Part 1</t>
  </si>
  <si>
    <t>Bleach: Thousand-Year Blood War - The Conflict</t>
  </si>
  <si>
    <t>Fighting Spirit: New Challenger</t>
  </si>
  <si>
    <t>Howl's Moving Castle</t>
  </si>
  <si>
    <t>Princess Mononoke</t>
  </si>
  <si>
    <t>Monogatari Series: Off &amp; Monster Season</t>
  </si>
  <si>
    <t>Umamusume: Pretty Derby - Beginning of a New Era</t>
  </si>
  <si>
    <t>Mushi-Shi</t>
  </si>
  <si>
    <t>Gurren Lagann</t>
  </si>
  <si>
    <t>Your Lie in April</t>
  </si>
  <si>
    <t>Heaven Official's Blessing Season 2</t>
  </si>
  <si>
    <t>The Master of Diabolism 3</t>
  </si>
  <si>
    <t>Attack on Titan Season 3</t>
  </si>
  <si>
    <t>The Legend of Hei 2</t>
  </si>
  <si>
    <t>Fate/stay night: Heaven's Feel - III. Spring Song</t>
  </si>
  <si>
    <t>Natsume's Book of Friends Season 4</t>
  </si>
  <si>
    <t>Ping Pong the Animation</t>
  </si>
  <si>
    <t>Odd Taxi</t>
  </si>
  <si>
    <t>Look Back</t>
  </si>
  <si>
    <t>Made in Abyss</t>
  </si>
  <si>
    <t>Cyberpunk: Edgerunners</t>
  </si>
  <si>
    <t>Death Note</t>
  </si>
  <si>
    <t>Haikyu!! 2nd Season</t>
  </si>
  <si>
    <t>Link Click Season 2</t>
  </si>
  <si>
    <t>Lord of Mysteries</t>
  </si>
  <si>
    <t>Bungo Stray Dogs 5</t>
  </si>
  <si>
    <t>Haikyu!! Movie: The Dumpster Battle</t>
  </si>
  <si>
    <t>Natsume's Book of Friends Season 6</t>
  </si>
  <si>
    <t>Gurren Lagann The Movie: The Lights in the Sky are Stars</t>
  </si>
  <si>
    <t>Kaguya-sama: Love is War?</t>
  </si>
  <si>
    <t>Mushoku Tensei: Jobless Reincarnation Part 2</t>
  </si>
  <si>
    <t>Ecchi</t>
  </si>
  <si>
    <t>Fighting Spirit: Rising</t>
  </si>
  <si>
    <t>Berserk</t>
  </si>
  <si>
    <t>Horror</t>
  </si>
  <si>
    <t>Made in Abyss: Dawn of the Deep Soul</t>
  </si>
  <si>
    <t>Made in Abyss: The Golden City of the Scorching Sun</t>
  </si>
  <si>
    <t>Delicious in Dungeon</t>
  </si>
  <si>
    <t>Gourmet</t>
  </si>
  <si>
    <t>Chiikawa</t>
  </si>
  <si>
    <t>Rascal Does Not Dream of a Dreaming Girl</t>
  </si>
  <si>
    <t>The Disappearance of Haruhi Suzumiya</t>
  </si>
  <si>
    <t>Umamusume: Cinderella Gray</t>
  </si>
  <si>
    <t>Natsume's Book of Friends Season 7</t>
  </si>
  <si>
    <t>Evangelion: 3.0+1.0 Thrice Upon a Time</t>
  </si>
  <si>
    <t>JoJo's Bizarre Adventure: Golden Wind</t>
  </si>
  <si>
    <t>Mushi-Shi: The Next Chapter - Drops of Bells</t>
  </si>
  <si>
    <t>Attack on Titan</t>
  </si>
  <si>
    <t>Nana</t>
  </si>
  <si>
    <t>Row Labels</t>
  </si>
  <si>
    <t>Grand Total</t>
  </si>
  <si>
    <t>Min of rank</t>
  </si>
  <si>
    <t>Max of duration_days</t>
  </si>
  <si>
    <t>Count of title</t>
  </si>
  <si>
    <t>Average of score</t>
  </si>
  <si>
    <t>Average of duration_days</t>
  </si>
  <si>
    <t>Distinct Count of title</t>
  </si>
  <si>
    <t>Anime Analytics Dashboard</t>
  </si>
  <si>
    <t>All</t>
  </si>
  <si>
    <t xml:space="preserve">  Data Source: Jikan API | Built with Python &amp; Excel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</si>
</sst>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87" formatCode="yyyy\-mm\-dd"/>
  </numFmts>
  <fonts count="10" x14ac:knownFonts="1">
    <font>
      <sz val="11"/>
      <color theme="1"/>
      <name val="Tahoma"/>
      <family val="2"/>
      <scheme val="minor"/>
    </font>
    <font>
      <b/>
      <sz val="11"/>
      <name val="Tahoma"/>
    </font>
    <font>
      <sz val="11"/>
      <color theme="1"/>
      <name val="Segoe UI"/>
      <family val="2"/>
    </font>
    <font>
      <b/>
      <sz val="11"/>
      <name val="Segoe UI"/>
      <family val="2"/>
    </font>
    <font>
      <sz val="11"/>
      <color theme="0"/>
      <name val="Segoe UI"/>
      <family val="2"/>
    </font>
    <font>
      <b/>
      <sz val="24"/>
      <color theme="0"/>
      <name val="Segoe UI"/>
      <family val="2"/>
    </font>
    <font>
      <b/>
      <sz val="12"/>
      <color theme="0"/>
      <name val="Segoe UI"/>
      <family val="2"/>
    </font>
    <font>
      <b/>
      <sz val="11"/>
      <color theme="0"/>
      <name val="Segoe UI"/>
      <family val="2"/>
    </font>
    <font>
      <b/>
      <sz val="24"/>
      <name val="Segoe UI"/>
      <family val="2"/>
    </font>
    <font>
      <b/>
      <sz val="12"/>
      <name val="Segoe UI"/>
      <family val="2"/>
    </font>
  </fonts>
  <fills count="4">
    <fill>
      <patternFill patternType="none"/>
    </fill>
    <fill>
      <patternFill patternType="gray125"/>
    </fill>
    <fill>
      <patternFill patternType="solid">
        <fgColor rgb="FF1E1E1E"/>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2">
    <xf numFmtId="0" fontId="0" fillId="0" borderId="0" xfId="0"/>
    <xf numFmtId="0" fontId="1" fillId="0" borderId="2" xfId="0" applyFont="1" applyBorder="1" applyAlignment="1">
      <alignment horizontal="center" vertical="top"/>
    </xf>
    <xf numFmtId="0" fontId="2" fillId="0" borderId="0" xfId="0" applyFont="1"/>
    <xf numFmtId="0" fontId="2" fillId="0" borderId="0" xfId="0" applyFont="1" applyAlignment="1">
      <alignment horizontal="left"/>
    </xf>
    <xf numFmtId="187" fontId="2" fillId="0" borderId="0" xfId="0" applyNumberFormat="1" applyFont="1"/>
    <xf numFmtId="0" fontId="3" fillId="0" borderId="1" xfId="0" applyFont="1" applyBorder="1" applyAlignment="1">
      <alignment horizontal="center" vertical="top"/>
    </xf>
    <xf numFmtId="2" fontId="2" fillId="0" borderId="0" xfId="0" applyNumberFormat="1" applyFont="1"/>
    <xf numFmtId="1" fontId="2" fillId="0" borderId="0" xfId="0" applyNumberFormat="1" applyFont="1"/>
    <xf numFmtId="0" fontId="4" fillId="2" borderId="0" xfId="0" applyFont="1" applyFill="1"/>
    <xf numFmtId="2" fontId="4" fillId="2" borderId="0" xfId="0" applyNumberFormat="1" applyFont="1" applyFill="1"/>
    <xf numFmtId="1" fontId="4" fillId="2" borderId="0" xfId="0" applyNumberFormat="1" applyFont="1" applyFill="1"/>
    <xf numFmtId="0" fontId="4" fillId="3" borderId="0" xfId="0" applyFont="1" applyFill="1"/>
    <xf numFmtId="0" fontId="7" fillId="3" borderId="0" xfId="0" applyFont="1" applyFill="1" applyBorder="1"/>
    <xf numFmtId="0" fontId="4" fillId="3" borderId="0" xfId="0" applyNumberFormat="1" applyFont="1" applyFill="1" applyBorder="1"/>
    <xf numFmtId="0" fontId="8" fillId="3" borderId="0" xfId="0" applyFont="1" applyFill="1" applyAlignment="1"/>
    <xf numFmtId="0" fontId="9" fillId="3" borderId="0" xfId="0" applyFont="1" applyFill="1" applyAlignment="1"/>
    <xf numFmtId="0" fontId="2" fillId="0" borderId="0" xfId="0" pivotButton="1" applyFont="1"/>
    <xf numFmtId="0" fontId="2" fillId="0" borderId="0" xfId="0" applyNumberFormat="1" applyFont="1"/>
    <xf numFmtId="0" fontId="8" fillId="2" borderId="0" xfId="0" applyFont="1" applyFill="1" applyAlignment="1"/>
    <xf numFmtId="0" fontId="9" fillId="2" borderId="0" xfId="0" applyFont="1" applyFill="1" applyAlignment="1"/>
    <xf numFmtId="0" fontId="5" fillId="2" borderId="0" xfId="0" applyFont="1" applyFill="1" applyAlignment="1">
      <alignment horizontal="center"/>
    </xf>
    <xf numFmtId="0" fontId="6" fillId="2" borderId="0" xfId="0" applyFont="1" applyFill="1" applyAlignment="1">
      <alignment horizontal="center"/>
    </xf>
  </cellXfs>
  <cellStyles count="1">
    <cellStyle name="Normal" xfId="0" builtinId="0"/>
  </cellStyles>
  <dxfs count="38">
    <dxf>
      <font>
        <name val="Segoe UI"/>
        <scheme val="none"/>
      </font>
    </dxf>
    <dxf>
      <font>
        <name val="Segoe UI"/>
        <scheme val="none"/>
      </font>
    </dxf>
    <dxf>
      <font>
        <name val="Segoe UI"/>
        <scheme val="none"/>
      </font>
    </dxf>
    <dxf>
      <numFmt numFmtId="1" formatCode="0"/>
    </dxf>
    <dxf>
      <numFmt numFmtId="2" formatCode="0.0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numFmt numFmtId="187" formatCode="yyyy\-mm\-dd"/>
    </dxf>
    <dxf>
      <font>
        <strike val="0"/>
        <outline val="0"/>
        <shadow val="0"/>
        <u val="none"/>
        <vertAlign val="baseline"/>
        <sz val="11"/>
        <color theme="1"/>
        <name val="Segoe UI"/>
        <scheme val="none"/>
      </font>
      <numFmt numFmtId="187" formatCode="yyyy\-mm\-dd"/>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font>
        <strike val="0"/>
        <outline val="0"/>
        <shadow val="0"/>
        <u val="none"/>
        <vertAlign val="baseline"/>
        <sz val="11"/>
        <color theme="1"/>
        <name val="Segoe UI"/>
        <scheme val="none"/>
      </font>
    </dxf>
    <dxf>
      <border outline="0">
        <top style="thin">
          <color auto="1"/>
        </top>
      </border>
    </dxf>
    <dxf>
      <font>
        <strike val="0"/>
        <outline val="0"/>
        <shadow val="0"/>
        <u val="none"/>
        <vertAlign val="baseline"/>
        <sz val="11"/>
        <color theme="1"/>
        <name val="Segoe UI"/>
        <scheme val="none"/>
      </font>
    </dxf>
    <dxf>
      <border outline="0">
        <bottom style="thin">
          <color auto="1"/>
        </bottom>
      </border>
    </dxf>
    <dxf>
      <font>
        <b/>
        <i val="0"/>
        <strike val="0"/>
        <condense val="0"/>
        <extend val="0"/>
        <outline val="0"/>
        <shadow val="0"/>
        <u val="none"/>
        <vertAlign val="baseline"/>
        <sz val="11"/>
        <color auto="1"/>
        <name val="Tahoma"/>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C3AED"/>
      <color rgb="FFB4B4B4"/>
      <color rgb="FF2A2A2A"/>
      <color rgb="FF1E1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[anime_dashboard.xlsx]pivot_data!pt_rank</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latin typeface="Segoe UI" panose="020B0502040204020203" pitchFamily="34" charset="0"/>
                <a:cs typeface="Segoe UI" panose="020B0502040204020203" pitchFamily="34" charset="0"/>
              </a:rPr>
              <a:t>Top 10 Anime by Rank</a:t>
            </a:r>
            <a:endParaRPr lang="en-US">
              <a:solidFill>
                <a:schemeClr val="bg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7C3AED"/>
          </a:solidFill>
          <a:ln>
            <a:noFill/>
          </a:ln>
          <a:effectLst/>
        </c:spPr>
        <c:marker>
          <c:symbol val="none"/>
        </c:marker>
      </c:pivotFmt>
    </c:pivotFmts>
    <c:plotArea>
      <c:layout/>
      <c:barChart>
        <c:barDir val="bar"/>
        <c:grouping val="clustered"/>
        <c:varyColors val="0"/>
        <c:ser>
          <c:idx val="0"/>
          <c:order val="0"/>
          <c:tx>
            <c:strRef>
              <c:f>pivot_data!$B$3</c:f>
              <c:strCache>
                <c:ptCount val="1"/>
                <c:pt idx="0">
                  <c:v>Total</c:v>
                </c:pt>
              </c:strCache>
            </c:strRef>
          </c:tx>
          <c:spPr>
            <a:solidFill>
              <a:srgbClr val="7C3AED"/>
            </a:solidFill>
            <a:ln>
              <a:noFill/>
            </a:ln>
            <a:effectLst/>
          </c:spPr>
          <c:invertIfNegative val="0"/>
          <c:cat>
            <c:strRef>
              <c:f>pivot_data!$A$4:$A$14</c:f>
              <c:strCache>
                <c:ptCount val="10"/>
                <c:pt idx="0">
                  <c:v>Frieren: Beyond Journey's End</c:v>
                </c:pt>
                <c:pt idx="1">
                  <c:v>Steel Ball Run: JoJo's Bizarre Adventure</c:v>
                </c:pt>
                <c:pt idx="2">
                  <c:v>Fullmetal Alchemist: Brotherhood</c:v>
                </c:pt>
                <c:pt idx="3">
                  <c:v>Chainsaw Man – The Movie: Reze Arc</c:v>
                </c:pt>
                <c:pt idx="4">
                  <c:v>Steins;Gate</c:v>
                </c:pt>
                <c:pt idx="5">
                  <c:v>Gintama: The Very Final</c:v>
                </c:pt>
                <c:pt idx="6">
                  <c:v>Gintama Season 4</c:v>
                </c:pt>
                <c:pt idx="7">
                  <c:v>Attack on Titan Season 3 Part 2</c:v>
                </c:pt>
                <c:pt idx="8">
                  <c:v>Hunter x Hunter</c:v>
                </c:pt>
                <c:pt idx="9">
                  <c:v>Legend of the Galactic Heroes</c:v>
                </c:pt>
              </c:strCache>
            </c:strRef>
          </c:cat>
          <c:val>
            <c:numRef>
              <c:f>pivot_data!$B$4:$B$14</c:f>
              <c:numCache>
                <c:formatCode>General</c:formatCode>
                <c:ptCount val="10"/>
                <c:pt idx="0">
                  <c:v>1</c:v>
                </c:pt>
                <c:pt idx="1">
                  <c:v>2</c:v>
                </c:pt>
                <c:pt idx="2">
                  <c:v>3</c:v>
                </c:pt>
                <c:pt idx="3">
                  <c:v>4</c:v>
                </c:pt>
                <c:pt idx="4">
                  <c:v>5</c:v>
                </c:pt>
                <c:pt idx="5">
                  <c:v>6</c:v>
                </c:pt>
                <c:pt idx="6">
                  <c:v>7</c:v>
                </c:pt>
                <c:pt idx="7">
                  <c:v>8</c:v>
                </c:pt>
                <c:pt idx="8">
                  <c:v>9</c:v>
                </c:pt>
                <c:pt idx="9">
                  <c:v>10</c:v>
                </c:pt>
              </c:numCache>
            </c:numRef>
          </c:val>
        </c:ser>
        <c:dLbls>
          <c:showLegendKey val="0"/>
          <c:showVal val="0"/>
          <c:showCatName val="0"/>
          <c:showSerName val="0"/>
          <c:showPercent val="0"/>
          <c:showBubbleSize val="0"/>
        </c:dLbls>
        <c:gapWidth val="182"/>
        <c:axId val="1211911504"/>
        <c:axId val="1211903888"/>
      </c:barChart>
      <c:catAx>
        <c:axId val="12119115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th-TH"/>
          </a:p>
        </c:txPr>
        <c:crossAx val="1211903888"/>
        <c:crosses val="autoZero"/>
        <c:auto val="1"/>
        <c:lblAlgn val="ctr"/>
        <c:lblOffset val="100"/>
        <c:noMultiLvlLbl val="0"/>
      </c:catAx>
      <c:valAx>
        <c:axId val="121190388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th-TH"/>
          </a:p>
        </c:txPr>
        <c:crossAx val="12119115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[anime_dashboard.xlsx]pivot_data!pt_duration</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latin typeface="Segoe UI" panose="020B0502040204020203" pitchFamily="34" charset="0"/>
                <a:cs typeface="Segoe UI" panose="020B0502040204020203" pitchFamily="34" charset="0"/>
              </a:rPr>
              <a:t>Top 10 Longest Anime</a:t>
            </a:r>
            <a:endParaRPr lang="en-US">
              <a:solidFill>
                <a:schemeClr val="bg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7C3AED"/>
          </a:solidFill>
          <a:ln>
            <a:noFill/>
          </a:ln>
          <a:effectLst/>
        </c:spPr>
        <c:marker>
          <c:symbol val="none"/>
        </c:marker>
      </c:pivotFmt>
    </c:pivotFmts>
    <c:plotArea>
      <c:layout/>
      <c:barChart>
        <c:barDir val="col"/>
        <c:grouping val="clustered"/>
        <c:varyColors val="0"/>
        <c:ser>
          <c:idx val="0"/>
          <c:order val="0"/>
          <c:tx>
            <c:strRef>
              <c:f>pivot_data!$B$20</c:f>
              <c:strCache>
                <c:ptCount val="1"/>
                <c:pt idx="0">
                  <c:v>Total</c:v>
                </c:pt>
              </c:strCache>
            </c:strRef>
          </c:tx>
          <c:spPr>
            <a:solidFill>
              <a:srgbClr val="7C3AED"/>
            </a:solidFill>
            <a:ln>
              <a:noFill/>
            </a:ln>
            <a:effectLst/>
          </c:spPr>
          <c:invertIfNegative val="0"/>
          <c:cat>
            <c:strRef>
              <c:f>pivot_data!$A$21:$A$31</c:f>
              <c:strCache>
                <c:ptCount val="10"/>
                <c:pt idx="0">
                  <c:v>Legend of the Galactic Heroes</c:v>
                </c:pt>
                <c:pt idx="1">
                  <c:v>Gintama</c:v>
                </c:pt>
                <c:pt idx="2">
                  <c:v>Hunter x Hunter</c:v>
                </c:pt>
                <c:pt idx="3">
                  <c:v>Kingdom Season 3</c:v>
                </c:pt>
                <c:pt idx="4">
                  <c:v>Fighting Spirit</c:v>
                </c:pt>
                <c:pt idx="5">
                  <c:v>Monster</c:v>
                </c:pt>
                <c:pt idx="6">
                  <c:v>Fullmetal Alchemist: Brotherhood</c:v>
                </c:pt>
                <c:pt idx="7">
                  <c:v>Great Teacher Onizuka</c:v>
                </c:pt>
                <c:pt idx="8">
                  <c:v>Cowboy Bebop</c:v>
                </c:pt>
                <c:pt idx="9">
                  <c:v>Gintama Season 2</c:v>
                </c:pt>
              </c:strCache>
            </c:strRef>
          </c:cat>
          <c:val>
            <c:numRef>
              <c:f>pivot_data!$B$21:$B$31</c:f>
              <c:numCache>
                <c:formatCode>General</c:formatCode>
                <c:ptCount val="10"/>
                <c:pt idx="0">
                  <c:v>3356</c:v>
                </c:pt>
                <c:pt idx="1">
                  <c:v>1451</c:v>
                </c:pt>
                <c:pt idx="2">
                  <c:v>1088</c:v>
                </c:pt>
                <c:pt idx="3">
                  <c:v>559</c:v>
                </c:pt>
                <c:pt idx="4">
                  <c:v>539</c:v>
                </c:pt>
                <c:pt idx="5">
                  <c:v>539</c:v>
                </c:pt>
                <c:pt idx="6">
                  <c:v>455</c:v>
                </c:pt>
                <c:pt idx="7">
                  <c:v>445</c:v>
                </c:pt>
                <c:pt idx="8">
                  <c:v>386</c:v>
                </c:pt>
                <c:pt idx="9">
                  <c:v>357</c:v>
                </c:pt>
              </c:numCache>
            </c:numRef>
          </c:val>
        </c:ser>
        <c:dLbls>
          <c:showLegendKey val="0"/>
          <c:showVal val="0"/>
          <c:showCatName val="0"/>
          <c:showSerName val="0"/>
          <c:showPercent val="0"/>
          <c:showBubbleSize val="0"/>
        </c:dLbls>
        <c:gapWidth val="219"/>
        <c:overlap val="-27"/>
        <c:axId val="1211907696"/>
        <c:axId val="1211901712"/>
      </c:barChart>
      <c:catAx>
        <c:axId val="12119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th-TH"/>
          </a:p>
        </c:txPr>
        <c:crossAx val="1211901712"/>
        <c:crosses val="autoZero"/>
        <c:auto val="1"/>
        <c:lblAlgn val="ctr"/>
        <c:lblOffset val="100"/>
        <c:noMultiLvlLbl val="0"/>
      </c:catAx>
      <c:valAx>
        <c:axId val="121190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th-TH"/>
          </a:p>
        </c:txPr>
        <c:crossAx val="12119076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[anime_dashboard.xlsx]pivot_data!pt_genre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latin typeface="Segoe UI" panose="020B0502040204020203" pitchFamily="34" charset="0"/>
                <a:cs typeface="Segoe UI" panose="020B0502040204020203" pitchFamily="34" charset="0"/>
              </a:rPr>
              <a:t>Genre Distribution</a:t>
            </a:r>
            <a:endParaRPr lang="en-US">
              <a:solidFill>
                <a:schemeClr val="bg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7C3AED"/>
          </a:solidFill>
          <a:ln>
            <a:noFill/>
          </a:ln>
          <a:effectLst/>
        </c:spPr>
        <c:marker>
          <c:symbol val="none"/>
        </c:marker>
      </c:pivotFmt>
    </c:pivotFmts>
    <c:plotArea>
      <c:layout/>
      <c:barChart>
        <c:barDir val="bar"/>
        <c:grouping val="clustered"/>
        <c:varyColors val="0"/>
        <c:ser>
          <c:idx val="0"/>
          <c:order val="0"/>
          <c:tx>
            <c:strRef>
              <c:f>pivot_data!$B$37</c:f>
              <c:strCache>
                <c:ptCount val="1"/>
                <c:pt idx="0">
                  <c:v>Total</c:v>
                </c:pt>
              </c:strCache>
            </c:strRef>
          </c:tx>
          <c:spPr>
            <a:solidFill>
              <a:srgbClr val="7C3AED"/>
            </a:solidFill>
            <a:ln>
              <a:noFill/>
            </a:ln>
            <a:effectLst/>
          </c:spPr>
          <c:invertIfNegative val="0"/>
          <c:cat>
            <c:strRef>
              <c:f>pivot_data!$A$38:$A$54</c:f>
              <c:strCache>
                <c:ptCount val="16"/>
                <c:pt idx="0">
                  <c:v>Drama</c:v>
                </c:pt>
                <c:pt idx="1">
                  <c:v>Action</c:v>
                </c:pt>
                <c:pt idx="2">
                  <c:v>Adventure</c:v>
                </c:pt>
                <c:pt idx="3">
                  <c:v>Supernatural</c:v>
                </c:pt>
                <c:pt idx="4">
                  <c:v>Sci-Fi</c:v>
                </c:pt>
                <c:pt idx="5">
                  <c:v>Mystery</c:v>
                </c:pt>
                <c:pt idx="6">
                  <c:v>Comedy</c:v>
                </c:pt>
                <c:pt idx="7">
                  <c:v>Fantasy</c:v>
                </c:pt>
                <c:pt idx="8">
                  <c:v>Award Winning</c:v>
                </c:pt>
                <c:pt idx="9">
                  <c:v>Suspense</c:v>
                </c:pt>
                <c:pt idx="10">
                  <c:v>Sports</c:v>
                </c:pt>
                <c:pt idx="11">
                  <c:v>Romance</c:v>
                </c:pt>
                <c:pt idx="12">
                  <c:v>Slice of Life</c:v>
                </c:pt>
                <c:pt idx="13">
                  <c:v>Ecchi</c:v>
                </c:pt>
                <c:pt idx="14">
                  <c:v>Horror</c:v>
                </c:pt>
                <c:pt idx="15">
                  <c:v>Gourmet</c:v>
                </c:pt>
              </c:strCache>
            </c:strRef>
          </c:cat>
          <c:val>
            <c:numRef>
              <c:f>pivot_data!$B$38:$B$54</c:f>
              <c:numCache>
                <c:formatCode>General</c:formatCode>
                <c:ptCount val="16"/>
                <c:pt idx="0">
                  <c:v>57</c:v>
                </c:pt>
                <c:pt idx="1">
                  <c:v>51</c:v>
                </c:pt>
                <c:pt idx="2">
                  <c:v>30</c:v>
                </c:pt>
                <c:pt idx="3">
                  <c:v>25</c:v>
                </c:pt>
                <c:pt idx="4">
                  <c:v>24</c:v>
                </c:pt>
                <c:pt idx="5">
                  <c:v>22</c:v>
                </c:pt>
                <c:pt idx="6">
                  <c:v>21</c:v>
                </c:pt>
                <c:pt idx="7">
                  <c:v>21</c:v>
                </c:pt>
                <c:pt idx="8">
                  <c:v>19</c:v>
                </c:pt>
                <c:pt idx="9">
                  <c:v>15</c:v>
                </c:pt>
                <c:pt idx="10">
                  <c:v>12</c:v>
                </c:pt>
                <c:pt idx="11">
                  <c:v>12</c:v>
                </c:pt>
                <c:pt idx="12">
                  <c:v>8</c:v>
                </c:pt>
                <c:pt idx="13">
                  <c:v>1</c:v>
                </c:pt>
                <c:pt idx="14">
                  <c:v>1</c:v>
                </c:pt>
                <c:pt idx="15">
                  <c:v>1</c:v>
                </c:pt>
              </c:numCache>
            </c:numRef>
          </c:val>
        </c:ser>
        <c:dLbls>
          <c:showLegendKey val="0"/>
          <c:showVal val="0"/>
          <c:showCatName val="0"/>
          <c:showSerName val="0"/>
          <c:showPercent val="0"/>
          <c:showBubbleSize val="0"/>
        </c:dLbls>
        <c:gapWidth val="182"/>
        <c:axId val="1211913136"/>
        <c:axId val="1211908784"/>
      </c:barChart>
      <c:catAx>
        <c:axId val="12119131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th-TH"/>
          </a:p>
        </c:txPr>
        <c:crossAx val="1211908784"/>
        <c:crosses val="autoZero"/>
        <c:auto val="1"/>
        <c:lblAlgn val="ctr"/>
        <c:lblOffset val="100"/>
        <c:noMultiLvlLbl val="0"/>
      </c:catAx>
      <c:valAx>
        <c:axId val="121190878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th-TH"/>
          </a:p>
        </c:txPr>
        <c:crossAx val="1211913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3362</xdr:colOff>
      <xdr:row>3</xdr:row>
      <xdr:rowOff>200025</xdr:rowOff>
    </xdr:from>
    <xdr:to>
      <xdr:col>6</xdr:col>
      <xdr:colOff>44258</xdr:colOff>
      <xdr:row>9</xdr:row>
      <xdr:rowOff>190500</xdr:rowOff>
    </xdr:to>
    <xdr:grpSp>
      <xdr:nvGrpSpPr>
        <xdr:cNvPr id="9" name="Group 8"/>
        <xdr:cNvGrpSpPr/>
      </xdr:nvGrpSpPr>
      <xdr:grpSpPr>
        <a:xfrm>
          <a:off x="1386444" y="1387388"/>
          <a:ext cx="2807061" cy="1243078"/>
          <a:chOff x="2485" y="1019175"/>
          <a:chExt cx="2057400" cy="1247775"/>
        </a:xfrm>
      </xdr:grpSpPr>
      <xdr:sp macro="" textlink="$A$5">
        <xdr:nvSpPr>
          <xdr:cNvPr id="3" name="Rectangle 2"/>
          <xdr:cNvSpPr/>
        </xdr:nvSpPr>
        <xdr:spPr>
          <a:xfrm>
            <a:off x="2485" y="1019175"/>
            <a:ext cx="2057400" cy="1247775"/>
          </a:xfrm>
          <a:prstGeom prst="rect">
            <a:avLst/>
          </a:prstGeom>
          <a:solidFill>
            <a:srgbClr val="2A2A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8425E8-F16B-42AB-81E4-14917E4D66B5}" type="TxLink">
              <a:rPr lang="en-US" sz="3600" b="1" i="0" u="none" strike="noStrike">
                <a:solidFill>
                  <a:schemeClr val="bg1"/>
                </a:solidFill>
                <a:latin typeface="Segoe UI"/>
                <a:cs typeface="Segoe UI"/>
              </a:rPr>
              <a:pPr algn="ctr"/>
              <a:t>123</a:t>
            </a:fld>
            <a:endParaRPr lang="en-US" sz="3600" b="1">
              <a:solidFill>
                <a:schemeClr val="bg1"/>
              </a:solidFill>
            </a:endParaRPr>
          </a:p>
        </xdr:txBody>
      </xdr:sp>
      <xdr:sp macro="" textlink="">
        <xdr:nvSpPr>
          <xdr:cNvPr id="7" name="TextBox 6"/>
          <xdr:cNvSpPr txBox="1"/>
        </xdr:nvSpPr>
        <xdr:spPr>
          <a:xfrm>
            <a:off x="12010" y="1799351"/>
            <a:ext cx="2038350" cy="335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solidFill>
                  <a:schemeClr val="bg1"/>
                </a:solidFill>
                <a:latin typeface="Segoe UI" panose="020B0502040204020203" pitchFamily="34" charset="0"/>
                <a:cs typeface="Segoe UI" panose="020B0502040204020203" pitchFamily="34" charset="0"/>
              </a:rPr>
              <a:t>Total</a:t>
            </a:r>
            <a:r>
              <a:rPr lang="en-US" sz="1400">
                <a:solidFill>
                  <a:schemeClr val="bg1"/>
                </a:solidFill>
                <a:latin typeface="Segoe UI" panose="020B0502040204020203" pitchFamily="34" charset="0"/>
                <a:cs typeface="Segoe UI" panose="020B0502040204020203" pitchFamily="34" charset="0"/>
              </a:rPr>
              <a:t> </a:t>
            </a:r>
            <a:r>
              <a:rPr lang="en-US" sz="1400" b="1">
                <a:solidFill>
                  <a:schemeClr val="bg1"/>
                </a:solidFill>
                <a:latin typeface="Segoe UI" panose="020B0502040204020203" pitchFamily="34" charset="0"/>
                <a:cs typeface="Segoe UI" panose="020B0502040204020203" pitchFamily="34" charset="0"/>
              </a:rPr>
              <a:t>Anime</a:t>
            </a:r>
            <a:endParaRPr lang="th-TH" sz="1400" b="1">
              <a:solidFill>
                <a:schemeClr val="bg1"/>
              </a:solidFill>
              <a:latin typeface="Segoe UI" panose="020B0502040204020203" pitchFamily="34" charset="0"/>
            </a:endParaRPr>
          </a:p>
        </xdr:txBody>
      </xdr:sp>
    </xdr:grpSp>
    <xdr:clientData/>
  </xdr:twoCellAnchor>
  <xdr:twoCellAnchor>
    <xdr:from>
      <xdr:col>2</xdr:col>
      <xdr:colOff>0</xdr:colOff>
      <xdr:row>11</xdr:row>
      <xdr:rowOff>128588</xdr:rowOff>
    </xdr:from>
    <xdr:to>
      <xdr:col>8</xdr:col>
      <xdr:colOff>457200</xdr:colOff>
      <xdr:row>26</xdr:row>
      <xdr:rowOff>157163</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254934</xdr:colOff>
      <xdr:row>11</xdr:row>
      <xdr:rowOff>147638</xdr:rowOff>
    </xdr:from>
    <xdr:to>
      <xdr:col>17</xdr:col>
      <xdr:colOff>16809</xdr:colOff>
      <xdr:row>26</xdr:row>
      <xdr:rowOff>185738</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28</xdr:row>
      <xdr:rowOff>190500</xdr:rowOff>
    </xdr:from>
    <xdr:to>
      <xdr:col>17</xdr:col>
      <xdr:colOff>11206</xdr:colOff>
      <xdr:row>46</xdr:row>
      <xdr:rowOff>152400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232517</xdr:colOff>
      <xdr:row>11</xdr:row>
      <xdr:rowOff>147638</xdr:rowOff>
    </xdr:from>
    <xdr:to>
      <xdr:col>21</xdr:col>
      <xdr:colOff>6158</xdr:colOff>
      <xdr:row>24</xdr:row>
      <xdr:rowOff>90488</xdr:rowOff>
    </xdr:to>
    <mc:AlternateContent xmlns:mc="http://schemas.openxmlformats.org/markup-compatibility/2006" xmlns:a14="http://schemas.microsoft.com/office/drawing/2010/main">
      <mc:Choice Requires="a14">
        <xdr:graphicFrame macro="">
          <xdr:nvGraphicFramePr>
            <xdr:cNvPr id="13" name="genres"/>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mlns="">
        <xdr:sp macro="" textlink="">
          <xdr:nvSpPr>
            <xdr:cNvPr id="0" name=""/>
            <xdr:cNvSpPr>
              <a:spLocks noTextEdit="1"/>
            </xdr:cNvSpPr>
          </xdr:nvSpPr>
          <xdr:spPr>
            <a:xfrm>
              <a:off x="12606734" y="2980290"/>
              <a:ext cx="1836011" cy="2634698"/>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232517</xdr:colOff>
      <xdr:row>26</xdr:row>
      <xdr:rowOff>183356</xdr:rowOff>
    </xdr:from>
    <xdr:to>
      <xdr:col>21</xdr:col>
      <xdr:colOff>6158</xdr:colOff>
      <xdr:row>31</xdr:row>
      <xdr:rowOff>145255</xdr:rowOff>
    </xdr:to>
    <mc:AlternateContent xmlns:mc="http://schemas.openxmlformats.org/markup-compatibility/2006" xmlns:a14="http://schemas.microsoft.com/office/drawing/2010/main">
      <mc:Choice Requires="a14">
        <xdr:graphicFrame macro="">
          <xdr:nvGraphicFramePr>
            <xdr:cNvPr id="14"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606734" y="6121986"/>
              <a:ext cx="1836011" cy="997226"/>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232517</xdr:colOff>
      <xdr:row>34</xdr:row>
      <xdr:rowOff>28575</xdr:rowOff>
    </xdr:from>
    <xdr:to>
      <xdr:col>21</xdr:col>
      <xdr:colOff>6158</xdr:colOff>
      <xdr:row>46</xdr:row>
      <xdr:rowOff>180975</xdr:rowOff>
    </xdr:to>
    <mc:AlternateContent xmlns:mc="http://schemas.openxmlformats.org/markup-compatibility/2006" xmlns:a14="http://schemas.microsoft.com/office/drawing/2010/main">
      <mc:Choice Requires="a14">
        <xdr:graphicFrame macro="">
          <xdr:nvGraphicFramePr>
            <xdr:cNvPr id="1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606734" y="7623727"/>
              <a:ext cx="1836011" cy="2637183"/>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346262</xdr:colOff>
      <xdr:row>3</xdr:row>
      <xdr:rowOff>200025</xdr:rowOff>
    </xdr:from>
    <xdr:to>
      <xdr:col>13</xdr:col>
      <xdr:colOff>387158</xdr:colOff>
      <xdr:row>9</xdr:row>
      <xdr:rowOff>190500</xdr:rowOff>
    </xdr:to>
    <xdr:grpSp>
      <xdr:nvGrpSpPr>
        <xdr:cNvPr id="27" name="Group 26"/>
        <xdr:cNvGrpSpPr/>
      </xdr:nvGrpSpPr>
      <xdr:grpSpPr>
        <a:xfrm>
          <a:off x="6570132" y="1387388"/>
          <a:ext cx="2807060" cy="1243078"/>
          <a:chOff x="2485" y="1019175"/>
          <a:chExt cx="2057400" cy="1247775"/>
        </a:xfrm>
      </xdr:grpSpPr>
      <xdr:sp macro="" textlink="$C$5">
        <xdr:nvSpPr>
          <xdr:cNvPr id="28" name="Rectangle 27"/>
          <xdr:cNvSpPr/>
        </xdr:nvSpPr>
        <xdr:spPr>
          <a:xfrm>
            <a:off x="2485" y="1019175"/>
            <a:ext cx="2057400" cy="1247775"/>
          </a:xfrm>
          <a:prstGeom prst="rect">
            <a:avLst/>
          </a:prstGeom>
          <a:solidFill>
            <a:srgbClr val="7C3A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D96EAE-65C6-42F3-A562-05DB99A11950}" type="TxLink">
              <a:rPr lang="en-US" sz="3600" b="1" i="0" u="none" strike="noStrike">
                <a:solidFill>
                  <a:srgbClr val="FFFFFF"/>
                </a:solidFill>
                <a:latin typeface="Segoe UI"/>
                <a:cs typeface="Segoe UI"/>
              </a:rPr>
              <a:pPr algn="ctr"/>
              <a:t>8.76</a:t>
            </a:fld>
            <a:endParaRPr lang="en-US" sz="3600" b="1">
              <a:solidFill>
                <a:schemeClr val="bg1"/>
              </a:solidFill>
            </a:endParaRPr>
          </a:p>
        </xdr:txBody>
      </xdr:sp>
      <xdr:sp macro="" textlink="">
        <xdr:nvSpPr>
          <xdr:cNvPr id="29" name="TextBox 28"/>
          <xdr:cNvSpPr txBox="1"/>
        </xdr:nvSpPr>
        <xdr:spPr>
          <a:xfrm>
            <a:off x="12010" y="1801353"/>
            <a:ext cx="2038350" cy="3311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solidFill>
                  <a:schemeClr val="bg1"/>
                </a:solidFill>
                <a:latin typeface="Segoe UI" panose="020B0502040204020203" pitchFamily="34" charset="0"/>
                <a:cs typeface="Segoe UI" panose="020B0502040204020203" pitchFamily="34" charset="0"/>
              </a:rPr>
              <a:t>Avg Score</a:t>
            </a:r>
            <a:endParaRPr lang="th-TH" sz="1400" b="1">
              <a:solidFill>
                <a:schemeClr val="bg1"/>
              </a:solidFill>
              <a:latin typeface="Segoe UI" panose="020B0502040204020203" pitchFamily="34" charset="0"/>
            </a:endParaRPr>
          </a:p>
        </xdr:txBody>
      </xdr:sp>
    </xdr:grpSp>
    <xdr:clientData/>
  </xdr:twoCellAnchor>
  <xdr:twoCellAnchor>
    <xdr:from>
      <xdr:col>16</xdr:col>
      <xdr:colOff>651062</xdr:colOff>
      <xdr:row>3</xdr:row>
      <xdr:rowOff>200025</xdr:rowOff>
    </xdr:from>
    <xdr:to>
      <xdr:col>21</xdr:col>
      <xdr:colOff>6158</xdr:colOff>
      <xdr:row>9</xdr:row>
      <xdr:rowOff>190500</xdr:rowOff>
    </xdr:to>
    <xdr:grpSp>
      <xdr:nvGrpSpPr>
        <xdr:cNvPr id="30" name="Group 29"/>
        <xdr:cNvGrpSpPr/>
      </xdr:nvGrpSpPr>
      <xdr:grpSpPr>
        <a:xfrm>
          <a:off x="11715720" y="1387388"/>
          <a:ext cx="2812801" cy="1243078"/>
          <a:chOff x="2485" y="1019175"/>
          <a:chExt cx="2057400" cy="1247775"/>
        </a:xfrm>
      </xdr:grpSpPr>
      <xdr:sp macro="" textlink="$K$5">
        <xdr:nvSpPr>
          <xdr:cNvPr id="31" name="Rectangle 30"/>
          <xdr:cNvSpPr/>
        </xdr:nvSpPr>
        <xdr:spPr>
          <a:xfrm>
            <a:off x="2485" y="1019175"/>
            <a:ext cx="2057400" cy="1247775"/>
          </a:xfrm>
          <a:prstGeom prst="rect">
            <a:avLst/>
          </a:prstGeom>
          <a:solidFill>
            <a:srgbClr val="2A2A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096D24-44E2-4CEC-A11F-404118B904FC}" type="TxLink">
              <a:rPr lang="en-US" sz="3600" b="1" i="0" u="none" strike="noStrike">
                <a:solidFill>
                  <a:srgbClr val="FFFFFF"/>
                </a:solidFill>
                <a:latin typeface="Segoe UI"/>
                <a:cs typeface="Segoe UI"/>
              </a:rPr>
              <a:pPr algn="ctr"/>
              <a:t>204</a:t>
            </a:fld>
            <a:endParaRPr lang="en-US" sz="3600" b="1">
              <a:solidFill>
                <a:schemeClr val="bg1"/>
              </a:solidFill>
            </a:endParaRPr>
          </a:p>
        </xdr:txBody>
      </xdr:sp>
      <xdr:sp macro="" textlink="">
        <xdr:nvSpPr>
          <xdr:cNvPr id="32" name="TextBox 31"/>
          <xdr:cNvSpPr txBox="1"/>
        </xdr:nvSpPr>
        <xdr:spPr>
          <a:xfrm>
            <a:off x="12010" y="1801353"/>
            <a:ext cx="2038350" cy="33111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solidFill>
                  <a:schemeClr val="bg1"/>
                </a:solidFill>
                <a:latin typeface="Segoe UI" panose="020B0502040204020203" pitchFamily="34" charset="0"/>
                <a:cs typeface="Segoe UI" panose="020B0502040204020203" pitchFamily="34" charset="0"/>
              </a:rPr>
              <a:t>Avg</a:t>
            </a:r>
            <a:r>
              <a:rPr lang="en-US" sz="1400" b="1" baseline="0">
                <a:solidFill>
                  <a:schemeClr val="bg1"/>
                </a:solidFill>
                <a:latin typeface="Segoe UI" panose="020B0502040204020203" pitchFamily="34" charset="0"/>
                <a:cs typeface="Segoe UI" panose="020B0502040204020203" pitchFamily="34" charset="0"/>
              </a:rPr>
              <a:t> Duration</a:t>
            </a:r>
            <a:endParaRPr lang="th-TH" sz="1400" b="1">
              <a:solidFill>
                <a:schemeClr val="bg1"/>
              </a:solidFill>
              <a:latin typeface="Segoe UI" panose="020B0502040204020203" pitchFamily="34"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WIN10" refreshedDate="46121.961421180553" backgroundQuery="1" createdVersion="5" refreshedVersion="5" minRefreshableVersion="3" recordCount="0" supportSubquery="1" supportAdvancedDrill="1">
  <cacheSource type="external" connectionId="1"/>
  <cacheFields count="4">
    <cacheField name="[anime_table].[title].[title]" caption="title" numFmtId="0" level="1">
      <sharedItems count="10">
        <s v="Attack on Titan Season 3 Part 2"/>
        <s v="Chainsaw Man – The Movie: Reze Arc"/>
        <s v="Frieren: Beyond Journey's End"/>
        <s v="Fullmetal Alchemist: Brotherhood"/>
        <s v="Gintama Season 4"/>
        <s v="Gintama: The Very Final"/>
        <s v="Hunter x Hunter"/>
        <s v="Legend of the Galactic Heroes"/>
        <s v="Steel Ball Run: JoJo's Bizarre Adventure"/>
        <s v="Steins;Gate"/>
      </sharedItems>
    </cacheField>
    <cacheField name="[anime_table].[status].[status]" caption="status" numFmtId="0" hierarchy="6" level="1">
      <sharedItems containsSemiMixedTypes="0" containsNonDate="0" containsString="0"/>
    </cacheField>
    <cacheField name="[Measures].[Min of rank]" caption="Min of rank" numFmtId="0" hierarchy="12" level="32767"/>
    <cacheField name="[anime_table].[genres].[genres]" caption="genres" numFmtId="0" hierarchy="9" level="1">
      <sharedItems containsSemiMixedTypes="0" containsNonDate="0" containsString="0"/>
    </cacheField>
  </cacheFields>
  <cacheHierarchies count="22">
    <cacheHierarchy uniqueName="[anime_table].[title]" caption="title" attribute="1" defaultMemberUniqueName="[anime_table].[title].[All]" allUniqueName="[anime_table].[title].[All]" dimensionUniqueName="[anime_table]" displayFolder="" count="2" memberValueDatatype="130" unbalanced="0">
      <fieldsUsage count="2">
        <fieldUsage x="-1"/>
        <fieldUsage x="0"/>
      </fieldsUsage>
    </cacheHierarchy>
    <cacheHierarchy uniqueName="[anime_table].[score]" caption="score" attribute="1" defaultMemberUniqueName="[anime_table].[score].[All]" allUniqueName="[anime_table].[score].[All]" dimensionUniqueName="[anime_table]" displayFolder="" count="2" memberValueDatatype="5" unbalanced="0"/>
    <cacheHierarchy uniqueName="[anime_table].[episodes]" caption="episodes" attribute="1" defaultMemberUniqueName="[anime_table].[episodes].[All]" allUniqueName="[anime_table].[episodes].[All]" dimensionUniqueName="[anime_table]" displayFolder="" count="2" memberValueDatatype="20" unbalanced="0"/>
    <cacheHierarchy uniqueName="[anime_table].[rank]" caption="rank" attribute="1" defaultMemberUniqueName="[anime_table].[rank].[All]" allUniqueName="[anime_table].[rank].[All]" dimensionUniqueName="[anime_table]" displayFolder="" count="2" memberValueDatatype="20" unbalanced="0"/>
    <cacheHierarchy uniqueName="[anime_table].[popularity]" caption="popularity" attribute="1" defaultMemberUniqueName="[anime_table].[popularity].[All]" allUniqueName="[anime_table].[popularity].[All]" dimensionUniqueName="[anime_table]" displayFolder="" count="2" memberValueDatatype="20" unbalanced="0"/>
    <cacheHierarchy uniqueName="[anime_table].[year]" caption="year" attribute="1" defaultMemberUniqueName="[anime_table].[year].[All]" allUniqueName="[anime_table].[year].[All]" dimensionUniqueName="[anime_table]" displayFolder="" count="2" memberValueDatatype="20" unbalanced="0"/>
    <cacheHierarchy uniqueName="[anime_table].[status]" caption="status" attribute="1" defaultMemberUniqueName="[anime_table].[status].[All]" allUniqueName="[anime_table].[status].[All]" dimensionUniqueName="[anime_table]" displayFolder="" count="2" memberValueDatatype="130" unbalanced="0">
      <fieldsUsage count="2">
        <fieldUsage x="-1"/>
        <fieldUsage x="1"/>
      </fieldsUsage>
    </cacheHierarchy>
    <cacheHierarchy uniqueName="[anime_table].[start_date]" caption="start_date" attribute="1" time="1" defaultMemberUniqueName="[anime_table].[start_date].[All]" allUniqueName="[anime_table].[start_date].[All]" dimensionUniqueName="[anime_table]" displayFolder="" count="2" memberValueDatatype="7" unbalanced="0"/>
    <cacheHierarchy uniqueName="[anime_table].[end_date]" caption="end_date" attribute="1" time="1" defaultMemberUniqueName="[anime_table].[end_date].[All]" allUniqueName="[anime_table].[end_date].[All]" dimensionUniqueName="[anime_table]" displayFolder="" count="2" memberValueDatatype="7" unbalanced="0"/>
    <cacheHierarchy uniqueName="[anime_table].[genres]" caption="genres" attribute="1" defaultMemberUniqueName="[anime_table].[genres].[All]" allUniqueName="[anime_table].[genres].[All]" dimensionUniqueName="[anime_table]" displayFolder="" count="2" memberValueDatatype="130" unbalanced="0">
      <fieldsUsage count="2">
        <fieldUsage x="-1"/>
        <fieldUsage x="3"/>
      </fieldsUsage>
    </cacheHierarchy>
    <cacheHierarchy uniqueName="[anime_table].[duration_days]" caption="duration_days" attribute="1" defaultMemberUniqueName="[anime_table].[duration_days].[All]" allUniqueName="[anime_table].[duration_days].[All]" dimensionUniqueName="[anime_table]" displayFolder="" count="2" memberValueDatatype="20" unbalanced="0"/>
    <cacheHierarchy uniqueName="[Measures].[Sum of rank]" caption="Sum of rank" measure="1" displayFolder="" measureGroup="anime_table" count="0">
      <extLst>
        <ext xmlns:x15="http://schemas.microsoft.com/office/spreadsheetml/2010/11/main" uri="{B97F6D7D-B522-45F9-BDA1-12C45D357490}">
          <x15:cacheHierarchy aggregatedColumn="3"/>
        </ext>
      </extLst>
    </cacheHierarchy>
    <cacheHierarchy uniqueName="[Measures].[Min of rank]" caption="Min of rank" measure="1" displayFolder="" measureGroup="anime_table" count="0" oneField="1">
      <fieldsUsage count="1">
        <fieldUsage x="2"/>
      </fieldsUsage>
      <extLst>
        <ext xmlns:x15="http://schemas.microsoft.com/office/spreadsheetml/2010/11/main" uri="{B97F6D7D-B522-45F9-BDA1-12C45D357490}">
          <x15:cacheHierarchy aggregatedColumn="3"/>
        </ext>
      </extLst>
    </cacheHierarchy>
    <cacheHierarchy uniqueName="[Measures].[Sum of duration_days]" caption="Sum of duration_days" measure="1" displayFolder="" measureGroup="anime_table" count="0">
      <extLst>
        <ext xmlns:x15="http://schemas.microsoft.com/office/spreadsheetml/2010/11/main" uri="{B97F6D7D-B522-45F9-BDA1-12C45D357490}">
          <x15:cacheHierarchy aggregatedColumn="10"/>
        </ext>
      </extLst>
    </cacheHierarchy>
    <cacheHierarchy uniqueName="[Measures].[Max of duration_days]" caption="Max of duration_days" measure="1" displayFolder="" measureGroup="anime_table" count="0">
      <extLst>
        <ext xmlns:x15="http://schemas.microsoft.com/office/spreadsheetml/2010/11/main" uri="{B97F6D7D-B522-45F9-BDA1-12C45D357490}">
          <x15:cacheHierarchy aggregatedColumn="10"/>
        </ext>
      </extLst>
    </cacheHierarchy>
    <cacheHierarchy uniqueName="[Measures].[Count of title]" caption="Count of title" measure="1" displayFolder="" measureGroup="anime_table" count="0">
      <extLst>
        <ext xmlns:x15="http://schemas.microsoft.com/office/spreadsheetml/2010/11/main" uri="{B97F6D7D-B522-45F9-BDA1-12C45D357490}">
          <x15:cacheHierarchy aggregatedColumn="0"/>
        </ext>
      </extLst>
    </cacheHierarchy>
    <cacheHierarchy uniqueName="[Measures].[Sum of score]" caption="Sum of score" measure="1" displayFolder="" measureGroup="anime_table" count="0">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nime_table" count="0">
      <extLst>
        <ext xmlns:x15="http://schemas.microsoft.com/office/spreadsheetml/2010/11/main" uri="{B97F6D7D-B522-45F9-BDA1-12C45D357490}">
          <x15:cacheHierarchy aggregatedColumn="1"/>
        </ext>
      </extLst>
    </cacheHierarchy>
    <cacheHierarchy uniqueName="[Measures].[Average of duration_days]" caption="Average of duration_days" measure="1" displayFolder="" measureGroup="anime_table" count="0">
      <extLst>
        <ext xmlns:x15="http://schemas.microsoft.com/office/spreadsheetml/2010/11/main" uri="{B97F6D7D-B522-45F9-BDA1-12C45D357490}">
          <x15:cacheHierarchy aggregatedColumn="10"/>
        </ext>
      </extLst>
    </cacheHierarchy>
    <cacheHierarchy uniqueName="[Measures].[Distinct Count of title]" caption="Distinct Count of title" measure="1" displayFolder="" measureGroup="anime_table" count="0">
      <extLst>
        <ext xmlns:x15="http://schemas.microsoft.com/office/spreadsheetml/2010/11/main" uri="{B97F6D7D-B522-45F9-BDA1-12C45D357490}">
          <x15:cacheHierarchy aggregatedColumn="0"/>
        </ext>
      </extLst>
    </cacheHierarchy>
    <cacheHierarchy uniqueName="[Measures].[__XL_Count anime_table]" caption="__XL_Count anime_table" measure="1" displayFolder="" measureGroup="anime_table" count="0" hidden="1"/>
    <cacheHierarchy uniqueName="[Measures].[__XL_Count of Models]" caption="__XL_Count of Models" measure="1" displayFolder="" count="0" hidden="1"/>
  </cacheHierarchies>
  <kpis count="0"/>
  <dimensions count="2">
    <dimension name="anime_table" uniqueName="[anime_table]" caption="anime_table"/>
    <dimension measure="1" name="Measures" uniqueName="[Measures]" caption="Measures"/>
  </dimensions>
  <measureGroups count="1">
    <measureGroup name="anime_table" caption="anime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WIN10" refreshedDate="46121.961421643522" backgroundQuery="1" createdVersion="5" refreshedVersion="5" minRefreshableVersion="3" recordCount="0" supportSubquery="1" supportAdvancedDrill="1">
  <cacheSource type="external" connectionId="1"/>
  <cacheFields count="3">
    <cacheField name="[anime_table].[title].[title]" caption="title" numFmtId="0" level="1">
      <sharedItems count="10">
        <s v="Cowboy Bebop"/>
        <s v="Fighting Spirit"/>
        <s v="Fullmetal Alchemist: Brotherhood"/>
        <s v="Gintama"/>
        <s v="Gintama Season 2"/>
        <s v="Great Teacher Onizuka"/>
        <s v="Hunter x Hunter"/>
        <s v="Kingdom Season 3"/>
        <s v="Legend of the Galactic Heroes"/>
        <s v="Monster"/>
      </sharedItems>
    </cacheField>
    <cacheField name="[Measures].[Max of duration_days]" caption="Max of duration_days" numFmtId="0" hierarchy="14" level="32767"/>
    <cacheField name="[anime_table].[genres].[genres]" caption="genres" numFmtId="0" hierarchy="9" level="1">
      <sharedItems containsSemiMixedTypes="0" containsNonDate="0" containsString="0"/>
    </cacheField>
  </cacheFields>
  <cacheHierarchies count="22">
    <cacheHierarchy uniqueName="[anime_table].[title]" caption="title" attribute="1" defaultMemberUniqueName="[anime_table].[title].[All]" allUniqueName="[anime_table].[title].[All]" dimensionUniqueName="[anime_table]" displayFolder="" count="2" memberValueDatatype="130" unbalanced="0">
      <fieldsUsage count="2">
        <fieldUsage x="-1"/>
        <fieldUsage x="0"/>
      </fieldsUsage>
    </cacheHierarchy>
    <cacheHierarchy uniqueName="[anime_table].[score]" caption="score" attribute="1" defaultMemberUniqueName="[anime_table].[score].[All]" allUniqueName="[anime_table].[score].[All]" dimensionUniqueName="[anime_table]" displayFolder="" count="0" memberValueDatatype="5" unbalanced="0"/>
    <cacheHierarchy uniqueName="[anime_table].[episodes]" caption="episodes" attribute="1" defaultMemberUniqueName="[anime_table].[episodes].[All]" allUniqueName="[anime_table].[episodes].[All]" dimensionUniqueName="[anime_table]" displayFolder="" count="0" memberValueDatatype="20" unbalanced="0"/>
    <cacheHierarchy uniqueName="[anime_table].[rank]" caption="rank" attribute="1" defaultMemberUniqueName="[anime_table].[rank].[All]" allUniqueName="[anime_table].[rank].[All]" dimensionUniqueName="[anime_table]" displayFolder="" count="0" memberValueDatatype="20" unbalanced="0"/>
    <cacheHierarchy uniqueName="[anime_table].[popularity]" caption="popularity" attribute="1" defaultMemberUniqueName="[anime_table].[popularity].[All]" allUniqueName="[anime_table].[popularity].[All]" dimensionUniqueName="[anime_table]" displayFolder="" count="0" memberValueDatatype="20" unbalanced="0"/>
    <cacheHierarchy uniqueName="[anime_table].[year]" caption="year" attribute="1" defaultMemberUniqueName="[anime_table].[year].[All]" allUniqueName="[anime_table].[year].[All]" dimensionUniqueName="[anime_table]" displayFolder="" count="2" memberValueDatatype="20" unbalanced="0"/>
    <cacheHierarchy uniqueName="[anime_table].[status]" caption="status" attribute="1" defaultMemberUniqueName="[anime_table].[status].[All]" allUniqueName="[anime_table].[status].[All]" dimensionUniqueName="[anime_table]" displayFolder="" count="2" memberValueDatatype="130" unbalanced="0"/>
    <cacheHierarchy uniqueName="[anime_table].[start_date]" caption="start_date" attribute="1" time="1" defaultMemberUniqueName="[anime_table].[start_date].[All]" allUniqueName="[anime_table].[start_date].[All]" dimensionUniqueName="[anime_table]" displayFolder="" count="0" memberValueDatatype="7" unbalanced="0"/>
    <cacheHierarchy uniqueName="[anime_table].[end_date]" caption="end_date" attribute="1" time="1" defaultMemberUniqueName="[anime_table].[end_date].[All]" allUniqueName="[anime_table].[end_date].[All]" dimensionUniqueName="[anime_table]" displayFolder="" count="0" memberValueDatatype="7" unbalanced="0"/>
    <cacheHierarchy uniqueName="[anime_table].[genres]" caption="genres" attribute="1" defaultMemberUniqueName="[anime_table].[genres].[All]" allUniqueName="[anime_table].[genres].[All]" dimensionUniqueName="[anime_table]" displayFolder="" count="2" memberValueDatatype="130" unbalanced="0">
      <fieldsUsage count="2">
        <fieldUsage x="-1"/>
        <fieldUsage x="2"/>
      </fieldsUsage>
    </cacheHierarchy>
    <cacheHierarchy uniqueName="[anime_table].[duration_days]" caption="duration_days" attribute="1" defaultMemberUniqueName="[anime_table].[duration_days].[All]" allUniqueName="[anime_table].[duration_days].[All]" dimensionUniqueName="[anime_table]" displayFolder="" count="0" memberValueDatatype="20" unbalanced="0"/>
    <cacheHierarchy uniqueName="[Measures].[Sum of rank]" caption="Sum of rank" measure="1" displayFolder="" measureGroup="anime_table" count="0">
      <extLst>
        <ext xmlns:x15="http://schemas.microsoft.com/office/spreadsheetml/2010/11/main" uri="{B97F6D7D-B522-45F9-BDA1-12C45D357490}">
          <x15:cacheHierarchy aggregatedColumn="3"/>
        </ext>
      </extLst>
    </cacheHierarchy>
    <cacheHierarchy uniqueName="[Measures].[Min of rank]" caption="Min of rank" measure="1" displayFolder="" measureGroup="anime_table" count="0">
      <extLst>
        <ext xmlns:x15="http://schemas.microsoft.com/office/spreadsheetml/2010/11/main" uri="{B97F6D7D-B522-45F9-BDA1-12C45D357490}">
          <x15:cacheHierarchy aggregatedColumn="3"/>
        </ext>
      </extLst>
    </cacheHierarchy>
    <cacheHierarchy uniqueName="[Measures].[Sum of duration_days]" caption="Sum of duration_days" measure="1" displayFolder="" measureGroup="anime_table" count="0">
      <extLst>
        <ext xmlns:x15="http://schemas.microsoft.com/office/spreadsheetml/2010/11/main" uri="{B97F6D7D-B522-45F9-BDA1-12C45D357490}">
          <x15:cacheHierarchy aggregatedColumn="10"/>
        </ext>
      </extLst>
    </cacheHierarchy>
    <cacheHierarchy uniqueName="[Measures].[Max of duration_days]" caption="Max of duration_days" measure="1" displayFolder="" measureGroup="anime_table" count="0" oneField="1">
      <fieldsUsage count="1">
        <fieldUsage x="1"/>
      </fieldsUsage>
      <extLst>
        <ext xmlns:x15="http://schemas.microsoft.com/office/spreadsheetml/2010/11/main" uri="{B97F6D7D-B522-45F9-BDA1-12C45D357490}">
          <x15:cacheHierarchy aggregatedColumn="10"/>
        </ext>
      </extLst>
    </cacheHierarchy>
    <cacheHierarchy uniqueName="[Measures].[Count of title]" caption="Count of title" measure="1" displayFolder="" measureGroup="anime_table" count="0">
      <extLst>
        <ext xmlns:x15="http://schemas.microsoft.com/office/spreadsheetml/2010/11/main" uri="{B97F6D7D-B522-45F9-BDA1-12C45D357490}">
          <x15:cacheHierarchy aggregatedColumn="0"/>
        </ext>
      </extLst>
    </cacheHierarchy>
    <cacheHierarchy uniqueName="[Measures].[Sum of score]" caption="Sum of score" measure="1" displayFolder="" measureGroup="anime_table" count="0">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nime_table" count="0">
      <extLst>
        <ext xmlns:x15="http://schemas.microsoft.com/office/spreadsheetml/2010/11/main" uri="{B97F6D7D-B522-45F9-BDA1-12C45D357490}">
          <x15:cacheHierarchy aggregatedColumn="1"/>
        </ext>
      </extLst>
    </cacheHierarchy>
    <cacheHierarchy uniqueName="[Measures].[Average of duration_days]" caption="Average of duration_days" measure="1" displayFolder="" measureGroup="anime_table" count="0">
      <extLst>
        <ext xmlns:x15="http://schemas.microsoft.com/office/spreadsheetml/2010/11/main" uri="{B97F6D7D-B522-45F9-BDA1-12C45D357490}">
          <x15:cacheHierarchy aggregatedColumn="10"/>
        </ext>
      </extLst>
    </cacheHierarchy>
    <cacheHierarchy uniqueName="[Measures].[Distinct Count of title]" caption="Distinct Count of title" measure="1" displayFolder="" measureGroup="anime_table" count="0">
      <extLst>
        <ext xmlns:x15="http://schemas.microsoft.com/office/spreadsheetml/2010/11/main" uri="{B97F6D7D-B522-45F9-BDA1-12C45D357490}">
          <x15:cacheHierarchy aggregatedColumn="0"/>
        </ext>
      </extLst>
    </cacheHierarchy>
    <cacheHierarchy uniqueName="[Measures].[__XL_Count anime_table]" caption="__XL_Count anime_table" measure="1" displayFolder="" measureGroup="anime_table" count="0" hidden="1"/>
    <cacheHierarchy uniqueName="[Measures].[__XL_Count of Models]" caption="__XL_Count of Models" measure="1" displayFolder="" count="0" hidden="1"/>
  </cacheHierarchies>
  <kpis count="0"/>
  <dimensions count="2">
    <dimension name="anime_table" uniqueName="[anime_table]" caption="anime_table"/>
    <dimension measure="1" name="Measures" uniqueName="[Measures]" caption="Measures"/>
  </dimensions>
  <measureGroups count="1">
    <measureGroup name="anime_table" caption="anime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WIN10" refreshedDate="46121.961422569446" backgroundQuery="1" createdVersion="5" refreshedVersion="5" minRefreshableVersion="3" recordCount="0" supportSubquery="1" supportAdvancedDrill="1">
  <cacheSource type="external" connectionId="1"/>
  <cacheFields count="2">
    <cacheField name="[anime_table].[genres].[genres]" caption="genres" numFmtId="0" hierarchy="9" level="1">
      <sharedItems count="16">
        <s v="Action"/>
        <s v="Adventure"/>
        <s v="Award Winning"/>
        <s v="Comedy"/>
        <s v="Drama"/>
        <s v="Ecchi"/>
        <s v="Fantasy"/>
        <s v="Gourmet"/>
        <s v="Horror"/>
        <s v="Mystery"/>
        <s v="Romance"/>
        <s v="Sci-Fi"/>
        <s v="Slice of Life"/>
        <s v="Sports"/>
        <s v="Supernatural"/>
        <s v="Suspense"/>
      </sharedItems>
    </cacheField>
    <cacheField name="[Measures].[Count of title]" caption="Count of title" numFmtId="0" hierarchy="15" level="32767"/>
  </cacheFields>
  <cacheHierarchies count="22">
    <cacheHierarchy uniqueName="[anime_table].[title]" caption="title" attribute="1" defaultMemberUniqueName="[anime_table].[title].[All]" allUniqueName="[anime_table].[title].[All]" dimensionUniqueName="[anime_table]" displayFolder="" count="0" memberValueDatatype="130" unbalanced="0"/>
    <cacheHierarchy uniqueName="[anime_table].[score]" caption="score" attribute="1" defaultMemberUniqueName="[anime_table].[score].[All]" allUniqueName="[anime_table].[score].[All]" dimensionUniqueName="[anime_table]" displayFolder="" count="0" memberValueDatatype="5" unbalanced="0"/>
    <cacheHierarchy uniqueName="[anime_table].[episodes]" caption="episodes" attribute="1" defaultMemberUniqueName="[anime_table].[episodes].[All]" allUniqueName="[anime_table].[episodes].[All]" dimensionUniqueName="[anime_table]" displayFolder="" count="0" memberValueDatatype="20" unbalanced="0"/>
    <cacheHierarchy uniqueName="[anime_table].[rank]" caption="rank" attribute="1" defaultMemberUniqueName="[anime_table].[rank].[All]" allUniqueName="[anime_table].[rank].[All]" dimensionUniqueName="[anime_table]" displayFolder="" count="0" memberValueDatatype="20" unbalanced="0"/>
    <cacheHierarchy uniqueName="[anime_table].[popularity]" caption="popularity" attribute="1" defaultMemberUniqueName="[anime_table].[popularity].[All]" allUniqueName="[anime_table].[popularity].[All]" dimensionUniqueName="[anime_table]" displayFolder="" count="0" memberValueDatatype="20" unbalanced="0"/>
    <cacheHierarchy uniqueName="[anime_table].[year]" caption="year" attribute="1" defaultMemberUniqueName="[anime_table].[year].[All]" allUniqueName="[anime_table].[year].[All]" dimensionUniqueName="[anime_table]" displayFolder="" count="2" memberValueDatatype="20" unbalanced="0"/>
    <cacheHierarchy uniqueName="[anime_table].[status]" caption="status" attribute="1" defaultMemberUniqueName="[anime_table].[status].[All]" allUniqueName="[anime_table].[status].[All]" dimensionUniqueName="[anime_table]" displayFolder="" count="2" memberValueDatatype="130" unbalanced="0"/>
    <cacheHierarchy uniqueName="[anime_table].[start_date]" caption="start_date" attribute="1" time="1" defaultMemberUniqueName="[anime_table].[start_date].[All]" allUniqueName="[anime_table].[start_date].[All]" dimensionUniqueName="[anime_table]" displayFolder="" count="0" memberValueDatatype="7" unbalanced="0"/>
    <cacheHierarchy uniqueName="[anime_table].[end_date]" caption="end_date" attribute="1" time="1" defaultMemberUniqueName="[anime_table].[end_date].[All]" allUniqueName="[anime_table].[end_date].[All]" dimensionUniqueName="[anime_table]" displayFolder="" count="0" memberValueDatatype="7" unbalanced="0"/>
    <cacheHierarchy uniqueName="[anime_table].[genres]" caption="genres" attribute="1" defaultMemberUniqueName="[anime_table].[genres].[All]" allUniqueName="[anime_table].[genres].[All]" dimensionUniqueName="[anime_table]" displayFolder="" count="2" memberValueDatatype="130" unbalanced="0">
      <fieldsUsage count="2">
        <fieldUsage x="-1"/>
        <fieldUsage x="0"/>
      </fieldsUsage>
    </cacheHierarchy>
    <cacheHierarchy uniqueName="[anime_table].[duration_days]" caption="duration_days" attribute="1" defaultMemberUniqueName="[anime_table].[duration_days].[All]" allUniqueName="[anime_table].[duration_days].[All]" dimensionUniqueName="[anime_table]" displayFolder="" count="0" memberValueDatatype="20" unbalanced="0"/>
    <cacheHierarchy uniqueName="[Measures].[Sum of rank]" caption="Sum of rank" measure="1" displayFolder="" measureGroup="anime_table" count="0">
      <extLst>
        <ext xmlns:x15="http://schemas.microsoft.com/office/spreadsheetml/2010/11/main" uri="{B97F6D7D-B522-45F9-BDA1-12C45D357490}">
          <x15:cacheHierarchy aggregatedColumn="3"/>
        </ext>
      </extLst>
    </cacheHierarchy>
    <cacheHierarchy uniqueName="[Measures].[Min of rank]" caption="Min of rank" measure="1" displayFolder="" measureGroup="anime_table" count="0">
      <extLst>
        <ext xmlns:x15="http://schemas.microsoft.com/office/spreadsheetml/2010/11/main" uri="{B97F6D7D-B522-45F9-BDA1-12C45D357490}">
          <x15:cacheHierarchy aggregatedColumn="3"/>
        </ext>
      </extLst>
    </cacheHierarchy>
    <cacheHierarchy uniqueName="[Measures].[Sum of duration_days]" caption="Sum of duration_days" measure="1" displayFolder="" measureGroup="anime_table" count="0">
      <extLst>
        <ext xmlns:x15="http://schemas.microsoft.com/office/spreadsheetml/2010/11/main" uri="{B97F6D7D-B522-45F9-BDA1-12C45D357490}">
          <x15:cacheHierarchy aggregatedColumn="10"/>
        </ext>
      </extLst>
    </cacheHierarchy>
    <cacheHierarchy uniqueName="[Measures].[Max of duration_days]" caption="Max of duration_days" measure="1" displayFolder="" measureGroup="anime_table" count="0">
      <extLst>
        <ext xmlns:x15="http://schemas.microsoft.com/office/spreadsheetml/2010/11/main" uri="{B97F6D7D-B522-45F9-BDA1-12C45D357490}">
          <x15:cacheHierarchy aggregatedColumn="10"/>
        </ext>
      </extLst>
    </cacheHierarchy>
    <cacheHierarchy uniqueName="[Measures].[Count of title]" caption="Count of title" measure="1" displayFolder="" measureGroup="anime_table" count="0" oneField="1">
      <fieldsUsage count="1">
        <fieldUsage x="1"/>
      </fieldsUsage>
      <extLst>
        <ext xmlns:x15="http://schemas.microsoft.com/office/spreadsheetml/2010/11/main" uri="{B97F6D7D-B522-45F9-BDA1-12C45D357490}">
          <x15:cacheHierarchy aggregatedColumn="0"/>
        </ext>
      </extLst>
    </cacheHierarchy>
    <cacheHierarchy uniqueName="[Measures].[Sum of score]" caption="Sum of score" measure="1" displayFolder="" measureGroup="anime_table" count="0">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nime_table" count="0">
      <extLst>
        <ext xmlns:x15="http://schemas.microsoft.com/office/spreadsheetml/2010/11/main" uri="{B97F6D7D-B522-45F9-BDA1-12C45D357490}">
          <x15:cacheHierarchy aggregatedColumn="1"/>
        </ext>
      </extLst>
    </cacheHierarchy>
    <cacheHierarchy uniqueName="[Measures].[Average of duration_days]" caption="Average of duration_days" measure="1" displayFolder="" measureGroup="anime_table" count="0">
      <extLst>
        <ext xmlns:x15="http://schemas.microsoft.com/office/spreadsheetml/2010/11/main" uri="{B97F6D7D-B522-45F9-BDA1-12C45D357490}">
          <x15:cacheHierarchy aggregatedColumn="10"/>
        </ext>
      </extLst>
    </cacheHierarchy>
    <cacheHierarchy uniqueName="[Measures].[Distinct Count of title]" caption="Distinct Count of title" measure="1" displayFolder="" measureGroup="anime_table" count="0">
      <extLst>
        <ext xmlns:x15="http://schemas.microsoft.com/office/spreadsheetml/2010/11/main" uri="{B97F6D7D-B522-45F9-BDA1-12C45D357490}">
          <x15:cacheHierarchy aggregatedColumn="0"/>
        </ext>
      </extLst>
    </cacheHierarchy>
    <cacheHierarchy uniqueName="[Measures].[__XL_Count anime_table]" caption="__XL_Count anime_table" measure="1" displayFolder="" measureGroup="anime_table" count="0" hidden="1"/>
    <cacheHierarchy uniqueName="[Measures].[__XL_Count of Models]" caption="__XL_Count of Models" measure="1" displayFolder="" count="0" hidden="1"/>
  </cacheHierarchies>
  <kpis count="0"/>
  <dimensions count="2">
    <dimension name="anime_table" uniqueName="[anime_table]" caption="anime_table"/>
    <dimension measure="1" name="Measures" uniqueName="[Measures]" caption="Measures"/>
  </dimensions>
  <measureGroups count="1">
    <measureGroup name="anime_table" caption="anime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WIN10" refreshedDate="46121.96142349537" backgroundQuery="1" createdVersion="5" refreshedVersion="5" minRefreshableVersion="3" recordCount="0" supportSubquery="1" supportAdvancedDrill="1">
  <cacheSource type="external" connectionId="1"/>
  <cacheFields count="4">
    <cacheField name="[Measures].[Average of score]" caption="Average of score" numFmtId="0" hierarchy="17" level="32767"/>
    <cacheField name="[Measures].[Average of duration_days]" caption="Average of duration_days" numFmtId="0" hierarchy="18" level="32767"/>
    <cacheField name="[Measures].[Distinct Count of title]" caption="Distinct Count of title" numFmtId="0" hierarchy="19" level="32767"/>
    <cacheField name="[anime_table].[genres].[genres]" caption="genres" numFmtId="0" hierarchy="9" level="1">
      <sharedItems containsSemiMixedTypes="0" containsNonDate="0" containsString="0"/>
    </cacheField>
  </cacheFields>
  <cacheHierarchies count="22">
    <cacheHierarchy uniqueName="[anime_table].[title]" caption="title" attribute="1" defaultMemberUniqueName="[anime_table].[title].[All]" allUniqueName="[anime_table].[title].[All]" dimensionUniqueName="[anime_table]" displayFolder="" count="0" memberValueDatatype="130" unbalanced="0"/>
    <cacheHierarchy uniqueName="[anime_table].[score]" caption="score" attribute="1" defaultMemberUniqueName="[anime_table].[score].[All]" allUniqueName="[anime_table].[score].[All]" dimensionUniqueName="[anime_table]" displayFolder="" count="0" memberValueDatatype="5" unbalanced="0"/>
    <cacheHierarchy uniqueName="[anime_table].[episodes]" caption="episodes" attribute="1" defaultMemberUniqueName="[anime_table].[episodes].[All]" allUniqueName="[anime_table].[episodes].[All]" dimensionUniqueName="[anime_table]" displayFolder="" count="0" memberValueDatatype="20" unbalanced="0"/>
    <cacheHierarchy uniqueName="[anime_table].[rank]" caption="rank" attribute="1" defaultMemberUniqueName="[anime_table].[rank].[All]" allUniqueName="[anime_table].[rank].[All]" dimensionUniqueName="[anime_table]" displayFolder="" count="0" memberValueDatatype="20" unbalanced="0"/>
    <cacheHierarchy uniqueName="[anime_table].[popularity]" caption="popularity" attribute="1" defaultMemberUniqueName="[anime_table].[popularity].[All]" allUniqueName="[anime_table].[popularity].[All]" dimensionUniqueName="[anime_table]" displayFolder="" count="0" memberValueDatatype="20" unbalanced="0"/>
    <cacheHierarchy uniqueName="[anime_table].[year]" caption="year" attribute="1" defaultMemberUniqueName="[anime_table].[year].[All]" allUniqueName="[anime_table].[year].[All]" dimensionUniqueName="[anime_table]" displayFolder="" count="2" memberValueDatatype="20" unbalanced="0"/>
    <cacheHierarchy uniqueName="[anime_table].[status]" caption="status" attribute="1" defaultMemberUniqueName="[anime_table].[status].[All]" allUniqueName="[anime_table].[status].[All]" dimensionUniqueName="[anime_table]" displayFolder="" count="2" memberValueDatatype="130" unbalanced="0"/>
    <cacheHierarchy uniqueName="[anime_table].[start_date]" caption="start_date" attribute="1" time="1" defaultMemberUniqueName="[anime_table].[start_date].[All]" allUniqueName="[anime_table].[start_date].[All]" dimensionUniqueName="[anime_table]" displayFolder="" count="0" memberValueDatatype="7" unbalanced="0"/>
    <cacheHierarchy uniqueName="[anime_table].[end_date]" caption="end_date" attribute="1" time="1" defaultMemberUniqueName="[anime_table].[end_date].[All]" allUniqueName="[anime_table].[end_date].[All]" dimensionUniqueName="[anime_table]" displayFolder="" count="0" memberValueDatatype="7" unbalanced="0"/>
    <cacheHierarchy uniqueName="[anime_table].[genres]" caption="genres" attribute="1" defaultMemberUniqueName="[anime_table].[genres].[All]" allUniqueName="[anime_table].[genres].[All]" dimensionUniqueName="[anime_table]" displayFolder="" count="2" memberValueDatatype="130" unbalanced="0">
      <fieldsUsage count="2">
        <fieldUsage x="-1"/>
        <fieldUsage x="3"/>
      </fieldsUsage>
    </cacheHierarchy>
    <cacheHierarchy uniqueName="[anime_table].[duration_days]" caption="duration_days" attribute="1" defaultMemberUniqueName="[anime_table].[duration_days].[All]" allUniqueName="[anime_table].[duration_days].[All]" dimensionUniqueName="[anime_table]" displayFolder="" count="0" memberValueDatatype="20" unbalanced="0"/>
    <cacheHierarchy uniqueName="[Measures].[Sum of rank]" caption="Sum of rank" measure="1" displayFolder="" measureGroup="anime_table" count="0">
      <extLst>
        <ext xmlns:x15="http://schemas.microsoft.com/office/spreadsheetml/2010/11/main" uri="{B97F6D7D-B522-45F9-BDA1-12C45D357490}">
          <x15:cacheHierarchy aggregatedColumn="3"/>
        </ext>
      </extLst>
    </cacheHierarchy>
    <cacheHierarchy uniqueName="[Measures].[Min of rank]" caption="Min of rank" measure="1" displayFolder="" measureGroup="anime_table" count="0">
      <extLst>
        <ext xmlns:x15="http://schemas.microsoft.com/office/spreadsheetml/2010/11/main" uri="{B97F6D7D-B522-45F9-BDA1-12C45D357490}">
          <x15:cacheHierarchy aggregatedColumn="3"/>
        </ext>
      </extLst>
    </cacheHierarchy>
    <cacheHierarchy uniqueName="[Measures].[Sum of duration_days]" caption="Sum of duration_days" measure="1" displayFolder="" measureGroup="anime_table" count="0">
      <extLst>
        <ext xmlns:x15="http://schemas.microsoft.com/office/spreadsheetml/2010/11/main" uri="{B97F6D7D-B522-45F9-BDA1-12C45D357490}">
          <x15:cacheHierarchy aggregatedColumn="10"/>
        </ext>
      </extLst>
    </cacheHierarchy>
    <cacheHierarchy uniqueName="[Measures].[Max of duration_days]" caption="Max of duration_days" measure="1" displayFolder="" measureGroup="anime_table" count="0">
      <extLst>
        <ext xmlns:x15="http://schemas.microsoft.com/office/spreadsheetml/2010/11/main" uri="{B97F6D7D-B522-45F9-BDA1-12C45D357490}">
          <x15:cacheHierarchy aggregatedColumn="10"/>
        </ext>
      </extLst>
    </cacheHierarchy>
    <cacheHierarchy uniqueName="[Measures].[Count of title]" caption="Count of title" measure="1" displayFolder="" measureGroup="anime_table" count="0">
      <extLst>
        <ext xmlns:x15="http://schemas.microsoft.com/office/spreadsheetml/2010/11/main" uri="{B97F6D7D-B522-45F9-BDA1-12C45D357490}">
          <x15:cacheHierarchy aggregatedColumn="0"/>
        </ext>
      </extLst>
    </cacheHierarchy>
    <cacheHierarchy uniqueName="[Measures].[Sum of score]" caption="Sum of score" measure="1" displayFolder="" measureGroup="anime_table" count="0">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nime_table" count="0" oneField="1">
      <fieldsUsage count="1">
        <fieldUsage x="0"/>
      </fieldsUsage>
      <extLst>
        <ext xmlns:x15="http://schemas.microsoft.com/office/spreadsheetml/2010/11/main" uri="{B97F6D7D-B522-45F9-BDA1-12C45D357490}">
          <x15:cacheHierarchy aggregatedColumn="1"/>
        </ext>
      </extLst>
    </cacheHierarchy>
    <cacheHierarchy uniqueName="[Measures].[Average of duration_days]" caption="Average of duration_days" measure="1" displayFolder="" measureGroup="anime_table" count="0" oneField="1">
      <fieldsUsage count="1">
        <fieldUsage x="1"/>
      </fieldsUsage>
      <extLst>
        <ext xmlns:x15="http://schemas.microsoft.com/office/spreadsheetml/2010/11/main" uri="{B97F6D7D-B522-45F9-BDA1-12C45D357490}">
          <x15:cacheHierarchy aggregatedColumn="10"/>
        </ext>
      </extLst>
    </cacheHierarchy>
    <cacheHierarchy uniqueName="[Measures].[Distinct Count of title]" caption="Distinct Count of title" measure="1" displayFolder="" measureGroup="anime_table" count="0" oneField="1">
      <fieldsUsage count="1">
        <fieldUsage x="2"/>
      </fieldsUsage>
      <extLst>
        <ext xmlns:x15="http://schemas.microsoft.com/office/spreadsheetml/2010/11/main" uri="{B97F6D7D-B522-45F9-BDA1-12C45D357490}">
          <x15:cacheHierarchy aggregatedColumn="0"/>
        </ext>
      </extLst>
    </cacheHierarchy>
    <cacheHierarchy uniqueName="[Measures].[__XL_Count anime_table]" caption="__XL_Count anime_table" measure="1" displayFolder="" measureGroup="anime_table" count="0" hidden="1"/>
    <cacheHierarchy uniqueName="[Measures].[__XL_Count of Models]" caption="__XL_Count of Models" measure="1" displayFolder="" count="0" hidden="1"/>
  </cacheHierarchies>
  <kpis count="0"/>
  <dimensions count="2">
    <dimension name="anime_table" uniqueName="[anime_table]" caption="anime_table"/>
    <dimension measure="1" name="Measures" uniqueName="[Measures]" caption="Measures"/>
  </dimensions>
  <measureGroups count="1">
    <measureGroup name="anime_table" caption="anime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WIN10" refreshedDate="46121.92064236111"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anime_table].[title]" caption="title" attribute="1" defaultMemberUniqueName="[anime_table].[title].[All]" allUniqueName="[anime_table].[title].[All]" dimensionUniqueName="[anime_table]" displayFolder="" count="0" memberValueDatatype="130" unbalanced="0"/>
    <cacheHierarchy uniqueName="[anime_table].[score]" caption="score" attribute="1" defaultMemberUniqueName="[anime_table].[score].[All]" allUniqueName="[anime_table].[score].[All]" dimensionUniqueName="[anime_table]" displayFolder="" count="0" memberValueDatatype="5" unbalanced="0"/>
    <cacheHierarchy uniqueName="[anime_table].[episodes]" caption="episodes" attribute="1" defaultMemberUniqueName="[anime_table].[episodes].[All]" allUniqueName="[anime_table].[episodes].[All]" dimensionUniqueName="[anime_table]" displayFolder="" count="0" memberValueDatatype="20" unbalanced="0"/>
    <cacheHierarchy uniqueName="[anime_table].[rank]" caption="rank" attribute="1" defaultMemberUniqueName="[anime_table].[rank].[All]" allUniqueName="[anime_table].[rank].[All]" dimensionUniqueName="[anime_table]" displayFolder="" count="0" memberValueDatatype="20" unbalanced="0"/>
    <cacheHierarchy uniqueName="[anime_table].[popularity]" caption="popularity" attribute="1" defaultMemberUniqueName="[anime_table].[popularity].[All]" allUniqueName="[anime_table].[popularity].[All]" dimensionUniqueName="[anime_table]" displayFolder="" count="0" memberValueDatatype="20" unbalanced="0"/>
    <cacheHierarchy uniqueName="[anime_table].[year]" caption="year" attribute="1" defaultMemberUniqueName="[anime_table].[year].[All]" allUniqueName="[anime_table].[year].[All]" dimensionUniqueName="[anime_table]" displayFolder="" count="2" memberValueDatatype="20" unbalanced="0"/>
    <cacheHierarchy uniqueName="[anime_table].[status]" caption="status" attribute="1" defaultMemberUniqueName="[anime_table].[status].[All]" allUniqueName="[anime_table].[status].[All]" dimensionUniqueName="[anime_table]" displayFolder="" count="2" memberValueDatatype="130" unbalanced="0"/>
    <cacheHierarchy uniqueName="[anime_table].[start_date]" caption="start_date" attribute="1" time="1" defaultMemberUniqueName="[anime_table].[start_date].[All]" allUniqueName="[anime_table].[start_date].[All]" dimensionUniqueName="[anime_table]" displayFolder="" count="0" memberValueDatatype="7" unbalanced="0"/>
    <cacheHierarchy uniqueName="[anime_table].[end_date]" caption="end_date" attribute="1" time="1" defaultMemberUniqueName="[anime_table].[end_date].[All]" allUniqueName="[anime_table].[end_date].[All]" dimensionUniqueName="[anime_table]" displayFolder="" count="0" memberValueDatatype="7" unbalanced="0"/>
    <cacheHierarchy uniqueName="[anime_table].[genres]" caption="genres" attribute="1" defaultMemberUniqueName="[anime_table].[genres].[All]" allUniqueName="[anime_table].[genres].[All]" dimensionUniqueName="[anime_table]" displayFolder="" count="2" memberValueDatatype="130" unbalanced="0"/>
    <cacheHierarchy uniqueName="[anime_table].[duration_days]" caption="duration_days" attribute="1" defaultMemberUniqueName="[anime_table].[duration_days].[All]" allUniqueName="[anime_table].[duration_days].[All]" dimensionUniqueName="[anime_table]" displayFolder="" count="0" memberValueDatatype="20" unbalanced="0"/>
    <cacheHierarchy uniqueName="[Measures].[Sum of rank]" caption="Sum of rank" measure="1" displayFolder="" measureGroup="anime_table" count="0">
      <extLst>
        <ext xmlns:x15="http://schemas.microsoft.com/office/spreadsheetml/2010/11/main" uri="{B97F6D7D-B522-45F9-BDA1-12C45D357490}">
          <x15:cacheHierarchy aggregatedColumn="3"/>
        </ext>
      </extLst>
    </cacheHierarchy>
    <cacheHierarchy uniqueName="[Measures].[Min of rank]" caption="Min of rank" measure="1" displayFolder="" measureGroup="anime_table" count="0">
      <extLst>
        <ext xmlns:x15="http://schemas.microsoft.com/office/spreadsheetml/2010/11/main" uri="{B97F6D7D-B522-45F9-BDA1-12C45D357490}">
          <x15:cacheHierarchy aggregatedColumn="3"/>
        </ext>
      </extLst>
    </cacheHierarchy>
    <cacheHierarchy uniqueName="[Measures].[Sum of duration_days]" caption="Sum of duration_days" measure="1" displayFolder="" measureGroup="anime_table" count="0">
      <extLst>
        <ext xmlns:x15="http://schemas.microsoft.com/office/spreadsheetml/2010/11/main" uri="{B97F6D7D-B522-45F9-BDA1-12C45D357490}">
          <x15:cacheHierarchy aggregatedColumn="10"/>
        </ext>
      </extLst>
    </cacheHierarchy>
    <cacheHierarchy uniqueName="[Measures].[Max of duration_days]" caption="Max of duration_days" measure="1" displayFolder="" measureGroup="anime_table" count="0">
      <extLst>
        <ext xmlns:x15="http://schemas.microsoft.com/office/spreadsheetml/2010/11/main" uri="{B97F6D7D-B522-45F9-BDA1-12C45D357490}">
          <x15:cacheHierarchy aggregatedColumn="10"/>
        </ext>
      </extLst>
    </cacheHierarchy>
    <cacheHierarchy uniqueName="[Measures].[Count of title]" caption="Count of title" measure="1" displayFolder="" measureGroup="anime_table" count="0">
      <extLst>
        <ext xmlns:x15="http://schemas.microsoft.com/office/spreadsheetml/2010/11/main" uri="{B97F6D7D-B522-45F9-BDA1-12C45D357490}">
          <x15:cacheHierarchy aggregatedColumn="0"/>
        </ext>
      </extLst>
    </cacheHierarchy>
    <cacheHierarchy uniqueName="[Measures].[Sum of score]" caption="Sum of score" measure="1" displayFolder="" measureGroup="anime_table" count="0">
      <extLst>
        <ext xmlns:x15="http://schemas.microsoft.com/office/spreadsheetml/2010/11/main" uri="{B97F6D7D-B522-45F9-BDA1-12C45D357490}">
          <x15:cacheHierarchy aggregatedColumn="1"/>
        </ext>
      </extLst>
    </cacheHierarchy>
    <cacheHierarchy uniqueName="[Measures].[Average of score]" caption="Average of score" measure="1" displayFolder="" measureGroup="anime_table" count="0">
      <extLst>
        <ext xmlns:x15="http://schemas.microsoft.com/office/spreadsheetml/2010/11/main" uri="{B97F6D7D-B522-45F9-BDA1-12C45D357490}">
          <x15:cacheHierarchy aggregatedColumn="1"/>
        </ext>
      </extLst>
    </cacheHierarchy>
    <cacheHierarchy uniqueName="[Measures].[Average of duration_days]" caption="Average of duration_days" measure="1" displayFolder="" measureGroup="anime_table" count="0">
      <extLst>
        <ext xmlns:x15="http://schemas.microsoft.com/office/spreadsheetml/2010/11/main" uri="{B97F6D7D-B522-45F9-BDA1-12C45D357490}">
          <x15:cacheHierarchy aggregatedColumn="10"/>
        </ext>
      </extLst>
    </cacheHierarchy>
    <cacheHierarchy uniqueName="[Measures].[Distinct Count of title]" caption="Distinct Count of title" measure="1" displayFolder="" measureGroup="anime_table" count="0">
      <extLst>
        <ext xmlns:x15="http://schemas.microsoft.com/office/spreadsheetml/2010/11/main" uri="{B97F6D7D-B522-45F9-BDA1-12C45D357490}">
          <x15:cacheHierarchy aggregatedColumn="0"/>
        </ext>
      </extLst>
    </cacheHierarchy>
    <cacheHierarchy uniqueName="[Measures].[__XL_Count anime_table]" caption="__XL_Count anime_table" measure="1" displayFolder="" measureGroup="anime_tabl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kpi"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60:C61" firstHeaderRow="0" firstDataRow="1" firstDataCol="0"/>
  <pivotFields count="4">
    <pivotField dataField="1" showAll="0"/>
    <pivotField dataField="1" showAll="0"/>
    <pivotField dataField="1" showAll="0"/>
    <pivotField allDrilled="1" showAll="0" dataSourceSort="1" defaultAttributeDrillState="1"/>
  </pivotFields>
  <rowItems count="1">
    <i/>
  </rowItems>
  <colFields count="1">
    <field x="-2"/>
  </colFields>
  <colItems count="3">
    <i>
      <x/>
    </i>
    <i i="1">
      <x v="1"/>
    </i>
    <i i="2">
      <x v="2"/>
    </i>
  </colItems>
  <dataFields count="3">
    <dataField name="Distinct Count of title" fld="2" subtotal="count" baseField="0" baseItem="1">
      <extLst>
        <ext xmlns:x15="http://schemas.microsoft.com/office/spreadsheetml/2010/11/main" uri="{FABC7310-3BB5-11E1-824E-6D434824019B}">
          <x15:dataField isCountDistinct="1"/>
        </ext>
      </extLst>
    </dataField>
    <dataField name="Average of score" fld="0" subtotal="average" baseField="0" baseItem="1" numFmtId="2"/>
    <dataField name="Average of duration_days" fld="1" subtotal="average" baseField="0" baseItem="1" numFmtId="1"/>
  </dataFields>
  <formats count="5">
    <format dxfId="4">
      <pivotArea outline="0" collapsedLevelsAreSubtotals="1" fieldPosition="0">
        <references count="1">
          <reference field="4294967294" count="2" selected="0">
            <x v="1"/>
            <x v="2"/>
          </reference>
        </references>
      </pivotArea>
    </format>
    <format dxfId="3">
      <pivotArea outline="0" collapsedLevelsAreSubtotals="1" fieldPosition="0">
        <references count="1">
          <reference field="4294967294" count="1" selected="0">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ime_dashboard.xlsx!anime_table">
        <x15:activeTabTopLevelEntity name="[anime_table]"/>
      </x15:pivotTableUISettings>
    </ext>
  </extLst>
</pivotTableDefinition>
</file>

<file path=xl/pivotTables/pivotTable2.xml><?xml version="1.0" encoding="utf-8"?>
<pivotTableDefinition xmlns="http://schemas.openxmlformats.org/spreadsheetml/2006/main" name="pt_genre"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37:B54" firstHeaderRow="1" firstDataRow="1" firstDataCol="1"/>
  <pivotFields count="2">
    <pivotField axis="axisRow" allDrilled="1" showAll="0" sortType="descending" defaultAttributeDrillState="1">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7">
    <i>
      <x v="4"/>
    </i>
    <i>
      <x/>
    </i>
    <i>
      <x v="1"/>
    </i>
    <i>
      <x v="14"/>
    </i>
    <i>
      <x v="11"/>
    </i>
    <i>
      <x v="9"/>
    </i>
    <i>
      <x v="3"/>
    </i>
    <i>
      <x v="6"/>
    </i>
    <i>
      <x v="2"/>
    </i>
    <i>
      <x v="15"/>
    </i>
    <i>
      <x v="13"/>
    </i>
    <i>
      <x v="10"/>
    </i>
    <i>
      <x v="12"/>
    </i>
    <i>
      <x v="5"/>
    </i>
    <i>
      <x v="8"/>
    </i>
    <i>
      <x v="7"/>
    </i>
    <i t="grand">
      <x/>
    </i>
  </rowItems>
  <colItems count="1">
    <i/>
  </colItems>
  <dataFields count="1">
    <dataField name="Count of title" fld="1" subtotal="count" baseField="0" baseItem="0"/>
  </dataFields>
  <formats count="6">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outline="0" axis="axisValues" fieldPosition="0"/>
    </format>
    <format dxfId="6">
      <pivotArea dataOnly="0" labelOnly="1" fieldPosition="0">
        <references count="1">
          <reference field="0" count="0"/>
        </references>
      </pivotArea>
    </format>
    <format dxfId="5">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9"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ime_dashboard.xlsx!anime_table">
        <x15:activeTabTopLevelEntity name="[anime_table]"/>
      </x15:pivotTableUISettings>
    </ext>
  </extLst>
</pivotTableDefinition>
</file>

<file path=xl/pivotTables/pivotTable3.xml><?xml version="1.0" encoding="utf-8"?>
<pivotTableDefinition xmlns="http://schemas.openxmlformats.org/spreadsheetml/2006/main" name="pt_duration" cacheId="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20:B31"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8"/>
    </i>
    <i>
      <x v="3"/>
    </i>
    <i>
      <x v="6"/>
    </i>
    <i>
      <x v="7"/>
    </i>
    <i>
      <x v="1"/>
    </i>
    <i>
      <x v="9"/>
    </i>
    <i>
      <x v="2"/>
    </i>
    <i>
      <x v="5"/>
    </i>
    <i>
      <x/>
    </i>
    <i>
      <x v="4"/>
    </i>
    <i t="grand">
      <x/>
    </i>
  </rowItems>
  <colItems count="1">
    <i/>
  </colItems>
  <dataFields count="1">
    <dataField name="Max of duration_days" fld="1" subtotal="max" baseField="0" baseItem="0"/>
  </dataFields>
  <formats count="6">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9" showRowHeaders="1" showColHeaders="1" showRowStripes="0" showColStripes="0" showLastColumn="1"/>
  <filters count="1">
    <filter fld="0" type="count" id="1" iMeasureHier="1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ime_dashboard.xlsx!anime_table">
        <x15:activeTabTopLevelEntity name="[anime_table]"/>
      </x15:pivotTableUISettings>
    </ext>
  </extLst>
</pivotTableDefinition>
</file>

<file path=xl/pivotTables/pivotTable4.xml><?xml version="1.0" encoding="utf-8"?>
<pivotTableDefinition xmlns="http://schemas.openxmlformats.org/spreadsheetml/2006/main" name="pt_rank" cacheId="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3:B14" firstHeaderRow="1" firstDataRow="1" firstDataCol="1" rowPageCount="1" colPageCount="1"/>
  <pivotFields count="4">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dataField="1" showAll="0"/>
    <pivotField allDrilled="1" showAll="0" dataSourceSort="1" defaultAttributeDrillState="1"/>
  </pivotFields>
  <rowFields count="1">
    <field x="0"/>
  </rowFields>
  <rowItems count="11">
    <i>
      <x v="2"/>
    </i>
    <i>
      <x v="8"/>
    </i>
    <i>
      <x v="3"/>
    </i>
    <i>
      <x v="1"/>
    </i>
    <i>
      <x v="9"/>
    </i>
    <i>
      <x v="5"/>
    </i>
    <i>
      <x v="4"/>
    </i>
    <i>
      <x/>
    </i>
    <i>
      <x v="6"/>
    </i>
    <i>
      <x v="7"/>
    </i>
    <i t="grand">
      <x/>
    </i>
  </rowItems>
  <colItems count="1">
    <i/>
  </colItems>
  <pageFields count="1">
    <pageField fld="1" hier="6" name="[anime_table].[status].[All]" cap="All"/>
  </pageFields>
  <dataFields count="1">
    <dataField name="Min of rank" fld="2" subtotal="min" baseField="0" baseItem="33"/>
  </dataFields>
  <formats count="6">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outline="0" axis="axisValues" fieldPosition="0"/>
    </format>
    <format dxfId="18">
      <pivotArea dataOnly="0" labelOnly="1" fieldPosition="0">
        <references count="1">
          <reference field="0" count="0"/>
        </references>
      </pivotArea>
    </format>
    <format dxfId="17">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9" showRowHeaders="1" showColHeaders="1" showRowStripes="0" showColStripes="0" showLastColumn="1"/>
  <filters count="1">
    <filter fld="0" type="count" id="1" iMeasureHier="12">
      <autoFilter ref="A1">
        <filterColumn colId="0">
          <top10 top="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ime_dashboard.xlsx!anime_table">
        <x15:activeTabTopLevelEntity name="[anime_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res" sourceName="[anime_table].[genres]">
  <pivotTables>
    <pivotTable tabId="8" name="pt_rank"/>
    <pivotTable tabId="8" name="pt_duration"/>
    <pivotTable tabId="8" name="pt_genre"/>
    <pivotTable tabId="8" name="pt_kpi"/>
  </pivotTables>
  <data>
    <olap pivotCacheId="1">
      <levels count="2">
        <level uniqueName="[anime_table].[genres].[(All)]" sourceCaption="(All)" count="0"/>
        <level uniqueName="[anime_table].[genres].[genres]" sourceCaption="genres" count="16">
          <ranges>
            <range startItem="0">
              <i n="[anime_table].[genres].&amp;[Action]" c="Action"/>
              <i n="[anime_table].[genres].&amp;[Adventure]" c="Adventure"/>
              <i n="[anime_table].[genres].&amp;[Award Winning]" c="Award Winning"/>
              <i n="[anime_table].[genres].&amp;[Comedy]" c="Comedy"/>
              <i n="[anime_table].[genres].&amp;[Drama]" c="Drama"/>
              <i n="[anime_table].[genres].&amp;[Ecchi]" c="Ecchi"/>
              <i n="[anime_table].[genres].&amp;[Fantasy]" c="Fantasy"/>
              <i n="[anime_table].[genres].&amp;[Gourmet]" c="Gourmet"/>
              <i n="[anime_table].[genres].&amp;[Horror]" c="Horror"/>
              <i n="[anime_table].[genres].&amp;[Mystery]" c="Mystery"/>
              <i n="[anime_table].[genres].&amp;[Romance]" c="Romance"/>
              <i n="[anime_table].[genres].&amp;[Sci-Fi]" c="Sci-Fi"/>
              <i n="[anime_table].[genres].&amp;[Slice of Life]" c="Slice of Life"/>
              <i n="[anime_table].[genres].&amp;[Sports]" c="Sports"/>
              <i n="[anime_table].[genres].&amp;[Supernatural]" c="Supernatural"/>
              <i n="[anime_table].[genres].&amp;[Suspense]" c="Suspense"/>
            </range>
          </ranges>
        </level>
      </levels>
      <selections count="1">
        <selection n="[anime_table].[genr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anime_table].[status]">
  <pivotTables>
    <pivotTable tabId="8" name="pt_rank"/>
    <pivotTable tabId="8" name="pt_duration"/>
    <pivotTable tabId="8" name="pt_genre"/>
    <pivotTable tabId="8" name="pt_kpi"/>
  </pivotTables>
  <data>
    <olap pivotCacheId="1">
      <levels count="2">
        <level uniqueName="[anime_table].[status].[(All)]" sourceCaption="(All)" count="0"/>
        <level uniqueName="[anime_table].[status].[status]" sourceCaption="status" count="2">
          <ranges>
            <range startItem="0">
              <i n="[anime_table].[status].&amp;[Currently Airing]" c="Currently Airing"/>
              <i n="[anime_table].[status].&amp;[Finished Airing]" c="Finished Airing"/>
            </range>
          </ranges>
        </level>
      </levels>
      <selections count="1">
        <selection n="[anime_table].[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anime_table].[year]">
  <pivotTables>
    <pivotTable tabId="8" name="pt_rank"/>
    <pivotTable tabId="8" name="pt_duration"/>
    <pivotTable tabId="8" name="pt_genre"/>
    <pivotTable tabId="8" name="pt_kpi"/>
  </pivotTables>
  <data>
    <olap pivotCacheId="1">
      <levels count="2">
        <level uniqueName="[anime_table].[year].[(All)]" sourceCaption="(All)" count="0"/>
        <level uniqueName="[anime_table].[year].[year]" sourceCaption="year" count="30">
          <ranges>
            <range startItem="0">
              <i n="[anime_table].[year].&amp;[1980]" c="1980"/>
              <i n="[anime_table].[year].&amp;[1988]" c="1988"/>
              <i n="[anime_table].[year].&amp;[1997]" c="1997"/>
              <i n="[anime_table].[year].&amp;[1998]" c="1998"/>
              <i n="[anime_table].[year].&amp;[1999]" c="1999"/>
              <i n="[anime_table].[year].&amp;[2000]" c="2000"/>
              <i n="[anime_table].[year].&amp;[2001]" c="2001"/>
              <i n="[anime_table].[year].&amp;[2004]" c="2004"/>
              <i n="[anime_table].[year].&amp;[2005]" c="2005"/>
              <i n="[anime_table].[year].&amp;[2006]" c="2006"/>
              <i n="[anime_table].[year].&amp;[2007]" c="2007"/>
              <i n="[anime_table].[year].&amp;[2008]" c="2008"/>
              <i n="[anime_table].[year].&amp;[2009]" c="2009"/>
              <i n="[anime_table].[year].&amp;[2010]" c="2010"/>
              <i n="[anime_table].[year].&amp;[2011]" c="2011"/>
              <i n="[anime_table].[year].&amp;[2012]" c="2012"/>
              <i n="[anime_table].[year].&amp;[2013]" c="2013"/>
              <i n="[anime_table].[year].&amp;[2014]" c="2014"/>
              <i n="[anime_table].[year].&amp;[2015]" c="2015"/>
              <i n="[anime_table].[year].&amp;[2016]" c="2016"/>
              <i n="[anime_table].[year].&amp;[2017]" c="2017"/>
              <i n="[anime_table].[year].&amp;[2018]" c="2018"/>
              <i n="[anime_table].[year].&amp;[2019]" c="2019"/>
              <i n="[anime_table].[year].&amp;[2020]" c="2020"/>
              <i n="[anime_table].[year].&amp;[2021]" c="2021"/>
              <i n="[anime_table].[year].&amp;[2022]" c="2022"/>
              <i n="[anime_table].[year].&amp;[2023]" c="2023"/>
              <i n="[anime_table].[year].&amp;[2024]" c="2024"/>
              <i n="[anime_table].[year].&amp;[2025]" c="2025"/>
              <i n="[anime_table].[year].&amp;[2026]" c="2026"/>
            </range>
          </ranges>
        </level>
      </levels>
      <selections count="1">
        <selection n="[anime_tab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res" cache="Slicer_genres" caption="genres" level="1" style="SlicerStyleDark4" rowHeight="257175"/>
  <slicer name="status" cache="Slicer_status" caption="status" level="1" style="SlicerStyleDark4" rowHeight="257175"/>
  <slicer name="year" cache="Slicer_year" caption="year" startItem="6" level="1" style="SlicerStyleDark4" rowHeight="257175"/>
</slicers>
</file>

<file path=xl/tables/table1.xml><?xml version="1.0" encoding="utf-8"?>
<table xmlns="http://schemas.openxmlformats.org/spreadsheetml/2006/main" id="1" name="anime_table" displayName="anime_table" ref="A1:K321" totalsRowShown="0" headerRowDxfId="37" dataDxfId="35" headerRowBorderDxfId="36" tableBorderDxfId="34">
  <autoFilter ref="A1:K321"/>
  <tableColumns count="11">
    <tableColumn id="1" name="title" dataDxfId="33"/>
    <tableColumn id="2" name="score" dataDxfId="32"/>
    <tableColumn id="3" name="episodes" dataDxfId="31"/>
    <tableColumn id="4" name="rank" dataDxfId="30"/>
    <tableColumn id="5" name="popularity" dataDxfId="29"/>
    <tableColumn id="6" name="year" dataDxfId="28"/>
    <tableColumn id="7" name="status" dataDxfId="27"/>
    <tableColumn id="8" name="start_date" dataDxfId="26"/>
    <tableColumn id="9" name="end_date" dataDxfId="25"/>
    <tableColumn id="10" name="genres" dataDxfId="24"/>
    <tableColumn id="11" name="duration_days" dataDxfId="23"/>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1"/>
  <sheetViews>
    <sheetView showGridLines="0" topLeftCell="A2" workbookViewId="0">
      <selection activeCell="A306" sqref="A2:K321"/>
    </sheetView>
  </sheetViews>
  <sheetFormatPr defaultRowHeight="14.25" x14ac:dyDescent="0.2"/>
  <cols>
    <col min="1" max="1" width="72.125" bestFit="1" customWidth="1"/>
    <col min="3" max="3" width="11" customWidth="1"/>
    <col min="5" max="5" width="12.375" customWidth="1"/>
    <col min="7" max="7" width="13.125" bestFit="1" customWidth="1"/>
    <col min="8" max="8" width="12.625" customWidth="1"/>
    <col min="9" max="9" width="11.5" customWidth="1"/>
    <col min="10" max="10" width="12.75" bestFit="1" customWidth="1"/>
    <col min="11" max="11" width="16.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ht="16.5" x14ac:dyDescent="0.3">
      <c r="A2" s="2" t="s">
        <v>11</v>
      </c>
      <c r="B2" s="2">
        <v>9.27</v>
      </c>
      <c r="C2" s="2">
        <v>28</v>
      </c>
      <c r="D2" s="2">
        <v>1</v>
      </c>
      <c r="E2" s="2">
        <v>104</v>
      </c>
      <c r="F2" s="2">
        <v>2023</v>
      </c>
      <c r="G2" s="2" t="s">
        <v>12</v>
      </c>
      <c r="H2" s="4">
        <v>45198</v>
      </c>
      <c r="I2" s="4">
        <v>45373</v>
      </c>
      <c r="J2" s="2" t="s">
        <v>13</v>
      </c>
      <c r="K2" s="2">
        <v>175</v>
      </c>
    </row>
    <row r="3" spans="1:11" ht="16.5" x14ac:dyDescent="0.3">
      <c r="A3" s="2" t="s">
        <v>11</v>
      </c>
      <c r="B3" s="2">
        <v>9.27</v>
      </c>
      <c r="C3" s="2">
        <v>28</v>
      </c>
      <c r="D3" s="2">
        <v>1</v>
      </c>
      <c r="E3" s="2">
        <v>104</v>
      </c>
      <c r="F3" s="2">
        <v>2023</v>
      </c>
      <c r="G3" s="2" t="s">
        <v>12</v>
      </c>
      <c r="H3" s="4">
        <v>45198</v>
      </c>
      <c r="I3" s="4">
        <v>45373</v>
      </c>
      <c r="J3" s="2" t="s">
        <v>14</v>
      </c>
      <c r="K3" s="2">
        <v>175</v>
      </c>
    </row>
    <row r="4" spans="1:11" ht="16.5" x14ac:dyDescent="0.3">
      <c r="A4" s="2" t="s">
        <v>11</v>
      </c>
      <c r="B4" s="2">
        <v>9.27</v>
      </c>
      <c r="C4" s="2">
        <v>28</v>
      </c>
      <c r="D4" s="2">
        <v>1</v>
      </c>
      <c r="E4" s="2">
        <v>104</v>
      </c>
      <c r="F4" s="2">
        <v>2023</v>
      </c>
      <c r="G4" s="2" t="s">
        <v>12</v>
      </c>
      <c r="H4" s="4">
        <v>45198</v>
      </c>
      <c r="I4" s="4">
        <v>45373</v>
      </c>
      <c r="J4" s="2" t="s">
        <v>15</v>
      </c>
      <c r="K4" s="2">
        <v>175</v>
      </c>
    </row>
    <row r="5" spans="1:11" ht="16.5" x14ac:dyDescent="0.3">
      <c r="A5" s="2" t="s">
        <v>11</v>
      </c>
      <c r="B5" s="2">
        <v>9.27</v>
      </c>
      <c r="C5" s="2">
        <v>28</v>
      </c>
      <c r="D5" s="2">
        <v>1</v>
      </c>
      <c r="E5" s="2">
        <v>104</v>
      </c>
      <c r="F5" s="2">
        <v>2023</v>
      </c>
      <c r="G5" s="2" t="s">
        <v>12</v>
      </c>
      <c r="H5" s="4">
        <v>45198</v>
      </c>
      <c r="I5" s="4">
        <v>45373</v>
      </c>
      <c r="J5" s="2" t="s">
        <v>16</v>
      </c>
      <c r="K5" s="2">
        <v>175</v>
      </c>
    </row>
    <row r="6" spans="1:11" ht="16.5" x14ac:dyDescent="0.3">
      <c r="A6" s="2" t="s">
        <v>17</v>
      </c>
      <c r="B6" s="2">
        <v>9.18</v>
      </c>
      <c r="C6" s="2"/>
      <c r="D6" s="2">
        <v>2</v>
      </c>
      <c r="E6" s="2">
        <v>1516</v>
      </c>
      <c r="F6" s="2">
        <v>2026</v>
      </c>
      <c r="G6" s="2" t="s">
        <v>18</v>
      </c>
      <c r="H6" s="4">
        <v>46100</v>
      </c>
      <c r="I6" s="2"/>
      <c r="J6" s="2" t="s">
        <v>19</v>
      </c>
      <c r="K6" s="2"/>
    </row>
    <row r="7" spans="1:11" ht="16.5" x14ac:dyDescent="0.3">
      <c r="A7" s="2" t="s">
        <v>17</v>
      </c>
      <c r="B7" s="2">
        <v>9.18</v>
      </c>
      <c r="C7" s="2"/>
      <c r="D7" s="2">
        <v>2</v>
      </c>
      <c r="E7" s="2">
        <v>1516</v>
      </c>
      <c r="F7" s="2">
        <v>2026</v>
      </c>
      <c r="G7" s="2" t="s">
        <v>18</v>
      </c>
      <c r="H7" s="4">
        <v>46100</v>
      </c>
      <c r="I7" s="2"/>
      <c r="J7" s="2" t="s">
        <v>13</v>
      </c>
      <c r="K7" s="2"/>
    </row>
    <row r="8" spans="1:11" ht="16.5" x14ac:dyDescent="0.3">
      <c r="A8" s="2" t="s">
        <v>17</v>
      </c>
      <c r="B8" s="2">
        <v>9.18</v>
      </c>
      <c r="C8" s="2"/>
      <c r="D8" s="2">
        <v>2</v>
      </c>
      <c r="E8" s="2">
        <v>1516</v>
      </c>
      <c r="F8" s="2">
        <v>2026</v>
      </c>
      <c r="G8" s="2" t="s">
        <v>18</v>
      </c>
      <c r="H8" s="4">
        <v>46100</v>
      </c>
      <c r="I8" s="2"/>
      <c r="J8" s="2" t="s">
        <v>20</v>
      </c>
      <c r="K8" s="2"/>
    </row>
    <row r="9" spans="1:11" ht="16.5" x14ac:dyDescent="0.3">
      <c r="A9" s="2" t="s">
        <v>17</v>
      </c>
      <c r="B9" s="2">
        <v>9.18</v>
      </c>
      <c r="C9" s="2"/>
      <c r="D9" s="2">
        <v>2</v>
      </c>
      <c r="E9" s="2">
        <v>1516</v>
      </c>
      <c r="F9" s="2">
        <v>2026</v>
      </c>
      <c r="G9" s="2" t="s">
        <v>18</v>
      </c>
      <c r="H9" s="4">
        <v>46100</v>
      </c>
      <c r="I9" s="2"/>
      <c r="J9" s="2" t="s">
        <v>21</v>
      </c>
      <c r="K9" s="2"/>
    </row>
    <row r="10" spans="1:11" ht="16.5" x14ac:dyDescent="0.3">
      <c r="A10" s="2" t="s">
        <v>22</v>
      </c>
      <c r="B10" s="2">
        <v>9.11</v>
      </c>
      <c r="C10" s="2">
        <v>64</v>
      </c>
      <c r="D10" s="2">
        <v>3</v>
      </c>
      <c r="E10" s="2">
        <v>3</v>
      </c>
      <c r="F10" s="2">
        <v>2009</v>
      </c>
      <c r="G10" s="2" t="s">
        <v>12</v>
      </c>
      <c r="H10" s="4">
        <v>39908</v>
      </c>
      <c r="I10" s="4">
        <v>40363</v>
      </c>
      <c r="J10" s="2" t="s">
        <v>19</v>
      </c>
      <c r="K10" s="2">
        <v>455</v>
      </c>
    </row>
    <row r="11" spans="1:11" ht="16.5" x14ac:dyDescent="0.3">
      <c r="A11" s="2" t="s">
        <v>22</v>
      </c>
      <c r="B11" s="2">
        <v>9.11</v>
      </c>
      <c r="C11" s="2">
        <v>64</v>
      </c>
      <c r="D11" s="2">
        <v>3</v>
      </c>
      <c r="E11" s="2">
        <v>3</v>
      </c>
      <c r="F11" s="2">
        <v>2009</v>
      </c>
      <c r="G11" s="2" t="s">
        <v>12</v>
      </c>
      <c r="H11" s="4">
        <v>39908</v>
      </c>
      <c r="I11" s="4">
        <v>40363</v>
      </c>
      <c r="J11" s="2" t="s">
        <v>13</v>
      </c>
      <c r="K11" s="2">
        <v>455</v>
      </c>
    </row>
    <row r="12" spans="1:11" ht="16.5" x14ac:dyDescent="0.3">
      <c r="A12" s="2" t="s">
        <v>22</v>
      </c>
      <c r="B12" s="2">
        <v>9.11</v>
      </c>
      <c r="C12" s="2">
        <v>64</v>
      </c>
      <c r="D12" s="2">
        <v>3</v>
      </c>
      <c r="E12" s="2">
        <v>3</v>
      </c>
      <c r="F12" s="2">
        <v>2009</v>
      </c>
      <c r="G12" s="2" t="s">
        <v>12</v>
      </c>
      <c r="H12" s="4">
        <v>39908</v>
      </c>
      <c r="I12" s="4">
        <v>40363</v>
      </c>
      <c r="J12" s="2" t="s">
        <v>15</v>
      </c>
      <c r="K12" s="2">
        <v>455</v>
      </c>
    </row>
    <row r="13" spans="1:11" ht="16.5" x14ac:dyDescent="0.3">
      <c r="A13" s="2" t="s">
        <v>22</v>
      </c>
      <c r="B13" s="2">
        <v>9.11</v>
      </c>
      <c r="C13" s="2">
        <v>64</v>
      </c>
      <c r="D13" s="2">
        <v>3</v>
      </c>
      <c r="E13" s="2">
        <v>3</v>
      </c>
      <c r="F13" s="2">
        <v>2009</v>
      </c>
      <c r="G13" s="2" t="s">
        <v>12</v>
      </c>
      <c r="H13" s="4">
        <v>39908</v>
      </c>
      <c r="I13" s="4">
        <v>40363</v>
      </c>
      <c r="J13" s="2" t="s">
        <v>16</v>
      </c>
      <c r="K13" s="2">
        <v>455</v>
      </c>
    </row>
    <row r="14" spans="1:11" ht="16.5" x14ac:dyDescent="0.3">
      <c r="A14" s="2" t="s">
        <v>23</v>
      </c>
      <c r="B14" s="2">
        <v>9.09</v>
      </c>
      <c r="C14" s="2">
        <v>1</v>
      </c>
      <c r="D14" s="2">
        <v>4</v>
      </c>
      <c r="E14" s="2">
        <v>598</v>
      </c>
      <c r="F14" s="2">
        <v>2025</v>
      </c>
      <c r="G14" s="2" t="s">
        <v>12</v>
      </c>
      <c r="H14" s="4">
        <v>45919</v>
      </c>
      <c r="I14" s="2"/>
      <c r="J14" s="2" t="s">
        <v>19</v>
      </c>
      <c r="K14" s="2"/>
    </row>
    <row r="15" spans="1:11" ht="16.5" x14ac:dyDescent="0.3">
      <c r="A15" s="2" t="s">
        <v>23</v>
      </c>
      <c r="B15" s="2">
        <v>9.09</v>
      </c>
      <c r="C15" s="2">
        <v>1</v>
      </c>
      <c r="D15" s="2">
        <v>4</v>
      </c>
      <c r="E15" s="2">
        <v>598</v>
      </c>
      <c r="F15" s="2">
        <v>2025</v>
      </c>
      <c r="G15" s="2" t="s">
        <v>12</v>
      </c>
      <c r="H15" s="4">
        <v>45919</v>
      </c>
      <c r="I15" s="2"/>
      <c r="J15" s="2" t="s">
        <v>16</v>
      </c>
      <c r="K15" s="2"/>
    </row>
    <row r="16" spans="1:11" ht="16.5" x14ac:dyDescent="0.3">
      <c r="A16" s="2" t="s">
        <v>24</v>
      </c>
      <c r="B16" s="2">
        <v>9.07</v>
      </c>
      <c r="C16" s="2">
        <v>24</v>
      </c>
      <c r="D16" s="2">
        <v>5</v>
      </c>
      <c r="E16" s="2">
        <v>14</v>
      </c>
      <c r="F16" s="2">
        <v>2011</v>
      </c>
      <c r="G16" s="2" t="s">
        <v>12</v>
      </c>
      <c r="H16" s="4">
        <v>40639</v>
      </c>
      <c r="I16" s="4">
        <v>40800</v>
      </c>
      <c r="J16" s="2" t="s">
        <v>15</v>
      </c>
      <c r="K16" s="2">
        <v>161</v>
      </c>
    </row>
    <row r="17" spans="1:11" ht="16.5" x14ac:dyDescent="0.3">
      <c r="A17" s="2" t="s">
        <v>24</v>
      </c>
      <c r="B17" s="2">
        <v>9.07</v>
      </c>
      <c r="C17" s="2">
        <v>24</v>
      </c>
      <c r="D17" s="2">
        <v>5</v>
      </c>
      <c r="E17" s="2">
        <v>14</v>
      </c>
      <c r="F17" s="2">
        <v>2011</v>
      </c>
      <c r="G17" s="2" t="s">
        <v>12</v>
      </c>
      <c r="H17" s="4">
        <v>40639</v>
      </c>
      <c r="I17" s="4">
        <v>40800</v>
      </c>
      <c r="J17" s="2" t="s">
        <v>25</v>
      </c>
      <c r="K17" s="2">
        <v>161</v>
      </c>
    </row>
    <row r="18" spans="1:11" ht="16.5" x14ac:dyDescent="0.3">
      <c r="A18" s="2" t="s">
        <v>24</v>
      </c>
      <c r="B18" s="2">
        <v>9.07</v>
      </c>
      <c r="C18" s="2">
        <v>24</v>
      </c>
      <c r="D18" s="2">
        <v>5</v>
      </c>
      <c r="E18" s="2">
        <v>14</v>
      </c>
      <c r="F18" s="2">
        <v>2011</v>
      </c>
      <c r="G18" s="2" t="s">
        <v>12</v>
      </c>
      <c r="H18" s="4">
        <v>40639</v>
      </c>
      <c r="I18" s="4">
        <v>40800</v>
      </c>
      <c r="J18" s="2" t="s">
        <v>26</v>
      </c>
      <c r="K18" s="2">
        <v>161</v>
      </c>
    </row>
    <row r="19" spans="1:11" ht="16.5" x14ac:dyDescent="0.3">
      <c r="A19" s="2" t="s">
        <v>27</v>
      </c>
      <c r="B19" s="2">
        <v>9.0500000000000007</v>
      </c>
      <c r="C19" s="2">
        <v>10</v>
      </c>
      <c r="D19" s="2">
        <v>8</v>
      </c>
      <c r="E19" s="2">
        <v>20</v>
      </c>
      <c r="F19" s="2">
        <v>2019</v>
      </c>
      <c r="G19" s="2" t="s">
        <v>12</v>
      </c>
      <c r="H19" s="4">
        <v>43584</v>
      </c>
      <c r="I19" s="4">
        <v>43647</v>
      </c>
      <c r="J19" s="2" t="s">
        <v>19</v>
      </c>
      <c r="K19" s="2">
        <v>63</v>
      </c>
    </row>
    <row r="20" spans="1:11" ht="16.5" x14ac:dyDescent="0.3">
      <c r="A20" s="2" t="s">
        <v>27</v>
      </c>
      <c r="B20" s="2">
        <v>9.0500000000000007</v>
      </c>
      <c r="C20" s="2">
        <v>10</v>
      </c>
      <c r="D20" s="2">
        <v>8</v>
      </c>
      <c r="E20" s="2">
        <v>20</v>
      </c>
      <c r="F20" s="2">
        <v>2019</v>
      </c>
      <c r="G20" s="2" t="s">
        <v>12</v>
      </c>
      <c r="H20" s="4">
        <v>43584</v>
      </c>
      <c r="I20" s="4">
        <v>43647</v>
      </c>
      <c r="J20" s="2" t="s">
        <v>15</v>
      </c>
      <c r="K20" s="2">
        <v>63</v>
      </c>
    </row>
    <row r="21" spans="1:11" ht="16.5" x14ac:dyDescent="0.3">
      <c r="A21" s="2" t="s">
        <v>27</v>
      </c>
      <c r="B21" s="2">
        <v>9.0500000000000007</v>
      </c>
      <c r="C21" s="2">
        <v>10</v>
      </c>
      <c r="D21" s="2">
        <v>8</v>
      </c>
      <c r="E21" s="2">
        <v>20</v>
      </c>
      <c r="F21" s="2">
        <v>2019</v>
      </c>
      <c r="G21" s="2" t="s">
        <v>12</v>
      </c>
      <c r="H21" s="4">
        <v>43584</v>
      </c>
      <c r="I21" s="4">
        <v>43647</v>
      </c>
      <c r="J21" s="2" t="s">
        <v>26</v>
      </c>
      <c r="K21" s="2">
        <v>63</v>
      </c>
    </row>
    <row r="22" spans="1:11" ht="16.5" x14ac:dyDescent="0.3">
      <c r="A22" s="2" t="s">
        <v>28</v>
      </c>
      <c r="B22" s="2">
        <v>9.0500000000000007</v>
      </c>
      <c r="C22" s="2">
        <v>51</v>
      </c>
      <c r="D22" s="2">
        <v>7</v>
      </c>
      <c r="E22" s="2">
        <v>349</v>
      </c>
      <c r="F22" s="2">
        <v>2015</v>
      </c>
      <c r="G22" s="2" t="s">
        <v>12</v>
      </c>
      <c r="H22" s="4">
        <v>42102</v>
      </c>
      <c r="I22" s="4">
        <v>42459</v>
      </c>
      <c r="J22" s="2" t="s">
        <v>19</v>
      </c>
      <c r="K22" s="2">
        <v>357</v>
      </c>
    </row>
    <row r="23" spans="1:11" ht="16.5" x14ac:dyDescent="0.3">
      <c r="A23" s="2" t="s">
        <v>28</v>
      </c>
      <c r="B23" s="2">
        <v>9.0500000000000007</v>
      </c>
      <c r="C23" s="2">
        <v>51</v>
      </c>
      <c r="D23" s="2">
        <v>7</v>
      </c>
      <c r="E23" s="2">
        <v>349</v>
      </c>
      <c r="F23" s="2">
        <v>2015</v>
      </c>
      <c r="G23" s="2" t="s">
        <v>12</v>
      </c>
      <c r="H23" s="4">
        <v>42102</v>
      </c>
      <c r="I23" s="4">
        <v>42459</v>
      </c>
      <c r="J23" s="2" t="s">
        <v>29</v>
      </c>
      <c r="K23" s="2">
        <v>357</v>
      </c>
    </row>
    <row r="24" spans="1:11" ht="16.5" x14ac:dyDescent="0.3">
      <c r="A24" s="2" t="s">
        <v>28</v>
      </c>
      <c r="B24" s="2">
        <v>9.0500000000000007</v>
      </c>
      <c r="C24" s="2">
        <v>51</v>
      </c>
      <c r="D24" s="2">
        <v>7</v>
      </c>
      <c r="E24" s="2">
        <v>349</v>
      </c>
      <c r="F24" s="2">
        <v>2015</v>
      </c>
      <c r="G24" s="2" t="s">
        <v>12</v>
      </c>
      <c r="H24" s="4">
        <v>42102</v>
      </c>
      <c r="I24" s="4">
        <v>42459</v>
      </c>
      <c r="J24" s="2" t="s">
        <v>25</v>
      </c>
      <c r="K24" s="2">
        <v>357</v>
      </c>
    </row>
    <row r="25" spans="1:11" ht="16.5" x14ac:dyDescent="0.3">
      <c r="A25" s="2" t="s">
        <v>30</v>
      </c>
      <c r="B25" s="2">
        <v>9.0500000000000007</v>
      </c>
      <c r="C25" s="2">
        <v>1</v>
      </c>
      <c r="D25" s="2">
        <v>6</v>
      </c>
      <c r="E25" s="2">
        <v>1505</v>
      </c>
      <c r="F25" s="2">
        <v>2021</v>
      </c>
      <c r="G25" s="2" t="s">
        <v>12</v>
      </c>
      <c r="H25" s="4">
        <v>44204</v>
      </c>
      <c r="I25" s="2"/>
      <c r="J25" s="2" t="s">
        <v>19</v>
      </c>
      <c r="K25" s="2"/>
    </row>
    <row r="26" spans="1:11" ht="16.5" x14ac:dyDescent="0.3">
      <c r="A26" s="2" t="s">
        <v>30</v>
      </c>
      <c r="B26" s="2">
        <v>9.0500000000000007</v>
      </c>
      <c r="C26" s="2">
        <v>1</v>
      </c>
      <c r="D26" s="2">
        <v>6</v>
      </c>
      <c r="E26" s="2">
        <v>1505</v>
      </c>
      <c r="F26" s="2">
        <v>2021</v>
      </c>
      <c r="G26" s="2" t="s">
        <v>12</v>
      </c>
      <c r="H26" s="4">
        <v>44204</v>
      </c>
      <c r="I26" s="2"/>
      <c r="J26" s="2" t="s">
        <v>29</v>
      </c>
      <c r="K26" s="2"/>
    </row>
    <row r="27" spans="1:11" ht="16.5" x14ac:dyDescent="0.3">
      <c r="A27" s="2" t="s">
        <v>30</v>
      </c>
      <c r="B27" s="2">
        <v>9.0500000000000007</v>
      </c>
      <c r="C27" s="2">
        <v>1</v>
      </c>
      <c r="D27" s="2">
        <v>6</v>
      </c>
      <c r="E27" s="2">
        <v>1505</v>
      </c>
      <c r="F27" s="2">
        <v>2021</v>
      </c>
      <c r="G27" s="2" t="s">
        <v>12</v>
      </c>
      <c r="H27" s="4">
        <v>44204</v>
      </c>
      <c r="I27" s="2"/>
      <c r="J27" s="2" t="s">
        <v>15</v>
      </c>
      <c r="K27" s="2"/>
    </row>
    <row r="28" spans="1:11" ht="16.5" x14ac:dyDescent="0.3">
      <c r="A28" s="2" t="s">
        <v>30</v>
      </c>
      <c r="B28" s="2">
        <v>9.0500000000000007</v>
      </c>
      <c r="C28" s="2">
        <v>1</v>
      </c>
      <c r="D28" s="2">
        <v>6</v>
      </c>
      <c r="E28" s="2">
        <v>1505</v>
      </c>
      <c r="F28" s="2">
        <v>2021</v>
      </c>
      <c r="G28" s="2" t="s">
        <v>12</v>
      </c>
      <c r="H28" s="4">
        <v>44204</v>
      </c>
      <c r="I28" s="2"/>
      <c r="J28" s="2" t="s">
        <v>25</v>
      </c>
      <c r="K28" s="2"/>
    </row>
    <row r="29" spans="1:11" ht="16.5" x14ac:dyDescent="0.3">
      <c r="A29" s="2" t="s">
        <v>31</v>
      </c>
      <c r="B29" s="2">
        <v>9.0299999999999994</v>
      </c>
      <c r="C29" s="2">
        <v>148</v>
      </c>
      <c r="D29" s="2">
        <v>9</v>
      </c>
      <c r="E29" s="2">
        <v>8</v>
      </c>
      <c r="F29" s="2">
        <v>2011</v>
      </c>
      <c r="G29" s="2" t="s">
        <v>12</v>
      </c>
      <c r="H29" s="4">
        <v>40818</v>
      </c>
      <c r="I29" s="4">
        <v>41906</v>
      </c>
      <c r="J29" s="2" t="s">
        <v>19</v>
      </c>
      <c r="K29" s="2">
        <v>1088</v>
      </c>
    </row>
    <row r="30" spans="1:11" ht="16.5" x14ac:dyDescent="0.3">
      <c r="A30" s="2" t="s">
        <v>31</v>
      </c>
      <c r="B30" s="2">
        <v>9.0299999999999994</v>
      </c>
      <c r="C30" s="2">
        <v>148</v>
      </c>
      <c r="D30" s="2">
        <v>9</v>
      </c>
      <c r="E30" s="2">
        <v>8</v>
      </c>
      <c r="F30" s="2">
        <v>2011</v>
      </c>
      <c r="G30" s="2" t="s">
        <v>12</v>
      </c>
      <c r="H30" s="4">
        <v>40818</v>
      </c>
      <c r="I30" s="4">
        <v>41906</v>
      </c>
      <c r="J30" s="2" t="s">
        <v>13</v>
      </c>
      <c r="K30" s="2">
        <v>1088</v>
      </c>
    </row>
    <row r="31" spans="1:11" ht="16.5" x14ac:dyDescent="0.3">
      <c r="A31" s="2" t="s">
        <v>31</v>
      </c>
      <c r="B31" s="2">
        <v>9.0299999999999994</v>
      </c>
      <c r="C31" s="2">
        <v>148</v>
      </c>
      <c r="D31" s="2">
        <v>9</v>
      </c>
      <c r="E31" s="2">
        <v>8</v>
      </c>
      <c r="F31" s="2">
        <v>2011</v>
      </c>
      <c r="G31" s="2" t="s">
        <v>12</v>
      </c>
      <c r="H31" s="4">
        <v>40818</v>
      </c>
      <c r="I31" s="4">
        <v>41906</v>
      </c>
      <c r="J31" s="2" t="s">
        <v>16</v>
      </c>
      <c r="K31" s="2">
        <v>1088</v>
      </c>
    </row>
    <row r="32" spans="1:11" ht="16.5" x14ac:dyDescent="0.3">
      <c r="A32" s="2" t="s">
        <v>32</v>
      </c>
      <c r="B32" s="2">
        <v>9.02</v>
      </c>
      <c r="C32" s="2">
        <v>1</v>
      </c>
      <c r="D32" s="2">
        <v>13</v>
      </c>
      <c r="E32" s="2">
        <v>1756</v>
      </c>
      <c r="F32" s="2">
        <v>2024</v>
      </c>
      <c r="G32" s="2" t="s">
        <v>12</v>
      </c>
      <c r="H32" s="4">
        <v>45585</v>
      </c>
      <c r="I32" s="2"/>
      <c r="J32" s="2" t="s">
        <v>19</v>
      </c>
      <c r="K32" s="2"/>
    </row>
    <row r="33" spans="1:11" ht="16.5" x14ac:dyDescent="0.3">
      <c r="A33" s="2" t="s">
        <v>32</v>
      </c>
      <c r="B33" s="2">
        <v>9.02</v>
      </c>
      <c r="C33" s="2">
        <v>1</v>
      </c>
      <c r="D33" s="2">
        <v>13</v>
      </c>
      <c r="E33" s="2">
        <v>1756</v>
      </c>
      <c r="F33" s="2">
        <v>2024</v>
      </c>
      <c r="G33" s="2" t="s">
        <v>12</v>
      </c>
      <c r="H33" s="4">
        <v>45585</v>
      </c>
      <c r="I33" s="2"/>
      <c r="J33" s="2" t="s">
        <v>13</v>
      </c>
      <c r="K33" s="2"/>
    </row>
    <row r="34" spans="1:11" ht="16.5" x14ac:dyDescent="0.3">
      <c r="A34" s="2" t="s">
        <v>32</v>
      </c>
      <c r="B34" s="2">
        <v>9.02</v>
      </c>
      <c r="C34" s="2">
        <v>1</v>
      </c>
      <c r="D34" s="2">
        <v>13</v>
      </c>
      <c r="E34" s="2">
        <v>1756</v>
      </c>
      <c r="F34" s="2">
        <v>2024</v>
      </c>
      <c r="G34" s="2" t="s">
        <v>12</v>
      </c>
      <c r="H34" s="4">
        <v>45585</v>
      </c>
      <c r="I34" s="2"/>
      <c r="J34" s="2" t="s">
        <v>16</v>
      </c>
      <c r="K34" s="2"/>
    </row>
    <row r="35" spans="1:11" ht="16.5" x14ac:dyDescent="0.3">
      <c r="A35" s="2" t="s">
        <v>33</v>
      </c>
      <c r="B35" s="2">
        <v>9.02</v>
      </c>
      <c r="C35" s="2">
        <v>51</v>
      </c>
      <c r="D35" s="2">
        <v>11</v>
      </c>
      <c r="E35" s="2">
        <v>406</v>
      </c>
      <c r="F35" s="2">
        <v>2011</v>
      </c>
      <c r="G35" s="2" t="s">
        <v>12</v>
      </c>
      <c r="H35" s="4">
        <v>40637</v>
      </c>
      <c r="I35" s="4">
        <v>40994</v>
      </c>
      <c r="J35" s="2" t="s">
        <v>19</v>
      </c>
      <c r="K35" s="2">
        <v>357</v>
      </c>
    </row>
    <row r="36" spans="1:11" ht="16.5" x14ac:dyDescent="0.3">
      <c r="A36" s="2" t="s">
        <v>33</v>
      </c>
      <c r="B36" s="2">
        <v>9.02</v>
      </c>
      <c r="C36" s="2">
        <v>51</v>
      </c>
      <c r="D36" s="2">
        <v>11</v>
      </c>
      <c r="E36" s="2">
        <v>406</v>
      </c>
      <c r="F36" s="2">
        <v>2011</v>
      </c>
      <c r="G36" s="2" t="s">
        <v>12</v>
      </c>
      <c r="H36" s="4">
        <v>40637</v>
      </c>
      <c r="I36" s="4">
        <v>40994</v>
      </c>
      <c r="J36" s="2" t="s">
        <v>29</v>
      </c>
      <c r="K36" s="2">
        <v>357</v>
      </c>
    </row>
    <row r="37" spans="1:11" ht="16.5" x14ac:dyDescent="0.3">
      <c r="A37" s="2" t="s">
        <v>33</v>
      </c>
      <c r="B37" s="2">
        <v>9.02</v>
      </c>
      <c r="C37" s="2">
        <v>51</v>
      </c>
      <c r="D37" s="2">
        <v>11</v>
      </c>
      <c r="E37" s="2">
        <v>406</v>
      </c>
      <c r="F37" s="2">
        <v>2011</v>
      </c>
      <c r="G37" s="2" t="s">
        <v>12</v>
      </c>
      <c r="H37" s="4">
        <v>40637</v>
      </c>
      <c r="I37" s="4">
        <v>40994</v>
      </c>
      <c r="J37" s="2" t="s">
        <v>25</v>
      </c>
      <c r="K37" s="2">
        <v>357</v>
      </c>
    </row>
    <row r="38" spans="1:11" ht="16.5" x14ac:dyDescent="0.3">
      <c r="A38" s="2" t="s">
        <v>34</v>
      </c>
      <c r="B38" s="2">
        <v>9.02</v>
      </c>
      <c r="C38" s="2">
        <v>13</v>
      </c>
      <c r="D38" s="2">
        <v>12</v>
      </c>
      <c r="E38" s="2">
        <v>760</v>
      </c>
      <c r="F38" s="2">
        <v>2012</v>
      </c>
      <c r="G38" s="2" t="s">
        <v>12</v>
      </c>
      <c r="H38" s="4">
        <v>41186</v>
      </c>
      <c r="I38" s="4">
        <v>41361</v>
      </c>
      <c r="J38" s="2" t="s">
        <v>19</v>
      </c>
      <c r="K38" s="2">
        <v>175</v>
      </c>
    </row>
    <row r="39" spans="1:11" ht="16.5" x14ac:dyDescent="0.3">
      <c r="A39" s="2" t="s">
        <v>34</v>
      </c>
      <c r="B39" s="2">
        <v>9.02</v>
      </c>
      <c r="C39" s="2">
        <v>13</v>
      </c>
      <c r="D39" s="2">
        <v>12</v>
      </c>
      <c r="E39" s="2">
        <v>760</v>
      </c>
      <c r="F39" s="2">
        <v>2012</v>
      </c>
      <c r="G39" s="2" t="s">
        <v>12</v>
      </c>
      <c r="H39" s="4">
        <v>41186</v>
      </c>
      <c r="I39" s="4">
        <v>41361</v>
      </c>
      <c r="J39" s="2" t="s">
        <v>29</v>
      </c>
      <c r="K39" s="2">
        <v>175</v>
      </c>
    </row>
    <row r="40" spans="1:11" ht="16.5" x14ac:dyDescent="0.3">
      <c r="A40" s="2" t="s">
        <v>34</v>
      </c>
      <c r="B40" s="2">
        <v>9.02</v>
      </c>
      <c r="C40" s="2">
        <v>13</v>
      </c>
      <c r="D40" s="2">
        <v>12</v>
      </c>
      <c r="E40" s="2">
        <v>760</v>
      </c>
      <c r="F40" s="2">
        <v>2012</v>
      </c>
      <c r="G40" s="2" t="s">
        <v>12</v>
      </c>
      <c r="H40" s="4">
        <v>41186</v>
      </c>
      <c r="I40" s="4">
        <v>41361</v>
      </c>
      <c r="J40" s="2" t="s">
        <v>25</v>
      </c>
      <c r="K40" s="2">
        <v>175</v>
      </c>
    </row>
    <row r="41" spans="1:11" ht="16.5" x14ac:dyDescent="0.3">
      <c r="A41" s="2" t="s">
        <v>35</v>
      </c>
      <c r="B41" s="2">
        <v>9.02</v>
      </c>
      <c r="C41" s="2">
        <v>110</v>
      </c>
      <c r="D41" s="2">
        <v>10</v>
      </c>
      <c r="E41" s="2">
        <v>755</v>
      </c>
      <c r="F41" s="2">
        <v>1988</v>
      </c>
      <c r="G41" s="2" t="s">
        <v>12</v>
      </c>
      <c r="H41" s="4">
        <v>32150</v>
      </c>
      <c r="I41" s="4">
        <v>35506</v>
      </c>
      <c r="J41" s="2" t="s">
        <v>15</v>
      </c>
      <c r="K41" s="2">
        <v>3356</v>
      </c>
    </row>
    <row r="42" spans="1:11" ht="16.5" x14ac:dyDescent="0.3">
      <c r="A42" s="2" t="s">
        <v>35</v>
      </c>
      <c r="B42" s="2">
        <v>9.02</v>
      </c>
      <c r="C42" s="2">
        <v>110</v>
      </c>
      <c r="D42" s="2">
        <v>10</v>
      </c>
      <c r="E42" s="2">
        <v>755</v>
      </c>
      <c r="F42" s="2">
        <v>1988</v>
      </c>
      <c r="G42" s="2" t="s">
        <v>12</v>
      </c>
      <c r="H42" s="4">
        <v>32150</v>
      </c>
      <c r="I42" s="4">
        <v>35506</v>
      </c>
      <c r="J42" s="2" t="s">
        <v>25</v>
      </c>
      <c r="K42" s="2">
        <v>3356</v>
      </c>
    </row>
    <row r="43" spans="1:11" ht="16.5" x14ac:dyDescent="0.3">
      <c r="A43" s="2" t="s">
        <v>36</v>
      </c>
      <c r="B43" s="2">
        <v>8.98</v>
      </c>
      <c r="C43" s="2">
        <v>12</v>
      </c>
      <c r="D43" s="2">
        <v>15</v>
      </c>
      <c r="E43" s="2">
        <v>788</v>
      </c>
      <c r="F43" s="2">
        <v>2017</v>
      </c>
      <c r="G43" s="2" t="s">
        <v>12</v>
      </c>
      <c r="H43" s="4">
        <v>42744</v>
      </c>
      <c r="I43" s="4">
        <v>42821</v>
      </c>
      <c r="J43" s="2" t="s">
        <v>19</v>
      </c>
      <c r="K43" s="2">
        <v>77</v>
      </c>
    </row>
    <row r="44" spans="1:11" ht="16.5" x14ac:dyDescent="0.3">
      <c r="A44" s="2" t="s">
        <v>36</v>
      </c>
      <c r="B44" s="2">
        <v>8.98</v>
      </c>
      <c r="C44" s="2">
        <v>12</v>
      </c>
      <c r="D44" s="2">
        <v>15</v>
      </c>
      <c r="E44" s="2">
        <v>788</v>
      </c>
      <c r="F44" s="2">
        <v>2017</v>
      </c>
      <c r="G44" s="2" t="s">
        <v>12</v>
      </c>
      <c r="H44" s="4">
        <v>42744</v>
      </c>
      <c r="I44" s="4">
        <v>42821</v>
      </c>
      <c r="J44" s="2" t="s">
        <v>29</v>
      </c>
      <c r="K44" s="2">
        <v>77</v>
      </c>
    </row>
    <row r="45" spans="1:11" ht="16.5" x14ac:dyDescent="0.3">
      <c r="A45" s="2" t="s">
        <v>36</v>
      </c>
      <c r="B45" s="2">
        <v>8.98</v>
      </c>
      <c r="C45" s="2">
        <v>12</v>
      </c>
      <c r="D45" s="2">
        <v>15</v>
      </c>
      <c r="E45" s="2">
        <v>788</v>
      </c>
      <c r="F45" s="2">
        <v>2017</v>
      </c>
      <c r="G45" s="2" t="s">
        <v>12</v>
      </c>
      <c r="H45" s="4">
        <v>42744</v>
      </c>
      <c r="I45" s="4">
        <v>42821</v>
      </c>
      <c r="J45" s="2" t="s">
        <v>25</v>
      </c>
      <c r="K45" s="2">
        <v>77</v>
      </c>
    </row>
    <row r="46" spans="1:11" ht="16.5" x14ac:dyDescent="0.3">
      <c r="A46" s="2" t="s">
        <v>37</v>
      </c>
      <c r="B46" s="2">
        <v>8.98</v>
      </c>
      <c r="C46" s="2">
        <v>13</v>
      </c>
      <c r="D46" s="2">
        <v>14</v>
      </c>
      <c r="E46" s="2">
        <v>342</v>
      </c>
      <c r="F46" s="2">
        <v>2022</v>
      </c>
      <c r="G46" s="2" t="s">
        <v>12</v>
      </c>
      <c r="H46" s="4">
        <v>44845</v>
      </c>
      <c r="I46" s="4">
        <v>44922</v>
      </c>
      <c r="J46" s="2" t="s">
        <v>19</v>
      </c>
      <c r="K46" s="2">
        <v>77</v>
      </c>
    </row>
    <row r="47" spans="1:11" ht="16.5" x14ac:dyDescent="0.3">
      <c r="A47" s="2" t="s">
        <v>37</v>
      </c>
      <c r="B47" s="2">
        <v>8.98</v>
      </c>
      <c r="C47" s="2">
        <v>13</v>
      </c>
      <c r="D47" s="2">
        <v>14</v>
      </c>
      <c r="E47" s="2">
        <v>342</v>
      </c>
      <c r="F47" s="2">
        <v>2022</v>
      </c>
      <c r="G47" s="2" t="s">
        <v>12</v>
      </c>
      <c r="H47" s="4">
        <v>44845</v>
      </c>
      <c r="I47" s="4">
        <v>44922</v>
      </c>
      <c r="J47" s="2" t="s">
        <v>13</v>
      </c>
      <c r="K47" s="2">
        <v>77</v>
      </c>
    </row>
    <row r="48" spans="1:11" ht="16.5" x14ac:dyDescent="0.3">
      <c r="A48" s="2" t="s">
        <v>37</v>
      </c>
      <c r="B48" s="2">
        <v>8.98</v>
      </c>
      <c r="C48" s="2">
        <v>13</v>
      </c>
      <c r="D48" s="2">
        <v>14</v>
      </c>
      <c r="E48" s="2">
        <v>342</v>
      </c>
      <c r="F48" s="2">
        <v>2022</v>
      </c>
      <c r="G48" s="2" t="s">
        <v>12</v>
      </c>
      <c r="H48" s="4">
        <v>44845</v>
      </c>
      <c r="I48" s="4">
        <v>44922</v>
      </c>
      <c r="J48" s="2" t="s">
        <v>21</v>
      </c>
      <c r="K48" s="2">
        <v>77</v>
      </c>
    </row>
    <row r="49" spans="1:11" ht="16.5" x14ac:dyDescent="0.3">
      <c r="A49" s="2" t="s">
        <v>38</v>
      </c>
      <c r="B49" s="2">
        <v>8.9700000000000006</v>
      </c>
      <c r="C49" s="2">
        <v>10</v>
      </c>
      <c r="D49" s="2">
        <v>16</v>
      </c>
      <c r="E49" s="2">
        <v>539</v>
      </c>
      <c r="F49" s="2">
        <v>2026</v>
      </c>
      <c r="G49" s="2" t="s">
        <v>12</v>
      </c>
      <c r="H49" s="4">
        <v>46038</v>
      </c>
      <c r="I49" s="4">
        <v>46108</v>
      </c>
      <c r="J49" s="2" t="s">
        <v>13</v>
      </c>
      <c r="K49" s="2">
        <v>70</v>
      </c>
    </row>
    <row r="50" spans="1:11" ht="16.5" x14ac:dyDescent="0.3">
      <c r="A50" s="2" t="s">
        <v>38</v>
      </c>
      <c r="B50" s="2">
        <v>8.9700000000000006</v>
      </c>
      <c r="C50" s="2">
        <v>10</v>
      </c>
      <c r="D50" s="2">
        <v>16</v>
      </c>
      <c r="E50" s="2">
        <v>539</v>
      </c>
      <c r="F50" s="2">
        <v>2026</v>
      </c>
      <c r="G50" s="2" t="s">
        <v>12</v>
      </c>
      <c r="H50" s="4">
        <v>46038</v>
      </c>
      <c r="I50" s="4">
        <v>46108</v>
      </c>
      <c r="J50" s="2" t="s">
        <v>15</v>
      </c>
      <c r="K50" s="2">
        <v>70</v>
      </c>
    </row>
    <row r="51" spans="1:11" ht="16.5" x14ac:dyDescent="0.3">
      <c r="A51" s="2" t="s">
        <v>38</v>
      </c>
      <c r="B51" s="2">
        <v>8.9700000000000006</v>
      </c>
      <c r="C51" s="2">
        <v>10</v>
      </c>
      <c r="D51" s="2">
        <v>16</v>
      </c>
      <c r="E51" s="2">
        <v>539</v>
      </c>
      <c r="F51" s="2">
        <v>2026</v>
      </c>
      <c r="G51" s="2" t="s">
        <v>12</v>
      </c>
      <c r="H51" s="4">
        <v>46038</v>
      </c>
      <c r="I51" s="4">
        <v>46108</v>
      </c>
      <c r="J51" s="2" t="s">
        <v>16</v>
      </c>
      <c r="K51" s="2">
        <v>70</v>
      </c>
    </row>
    <row r="52" spans="1:11" ht="16.5" x14ac:dyDescent="0.3">
      <c r="A52" s="2" t="s">
        <v>39</v>
      </c>
      <c r="B52" s="2">
        <v>8.9600000000000009</v>
      </c>
      <c r="C52" s="2">
        <v>13</v>
      </c>
      <c r="D52" s="2">
        <v>17</v>
      </c>
      <c r="E52" s="2">
        <v>165</v>
      </c>
      <c r="F52" s="2">
        <v>2022</v>
      </c>
      <c r="G52" s="2" t="s">
        <v>12</v>
      </c>
      <c r="H52" s="4">
        <v>44660</v>
      </c>
      <c r="I52" s="4">
        <v>44737</v>
      </c>
      <c r="J52" s="2" t="s">
        <v>29</v>
      </c>
      <c r="K52" s="2">
        <v>77</v>
      </c>
    </row>
    <row r="53" spans="1:11" ht="16.5" x14ac:dyDescent="0.3">
      <c r="A53" s="2" t="s">
        <v>39</v>
      </c>
      <c r="B53" s="2">
        <v>8.9600000000000009</v>
      </c>
      <c r="C53" s="2">
        <v>13</v>
      </c>
      <c r="D53" s="2">
        <v>17</v>
      </c>
      <c r="E53" s="2">
        <v>165</v>
      </c>
      <c r="F53" s="2">
        <v>2022</v>
      </c>
      <c r="G53" s="2" t="s">
        <v>12</v>
      </c>
      <c r="H53" s="4">
        <v>44660</v>
      </c>
      <c r="I53" s="4">
        <v>44737</v>
      </c>
      <c r="J53" s="2" t="s">
        <v>40</v>
      </c>
      <c r="K53" s="2">
        <v>77</v>
      </c>
    </row>
    <row r="54" spans="1:11" ht="16.5" x14ac:dyDescent="0.3">
      <c r="A54" s="2" t="s">
        <v>41</v>
      </c>
      <c r="B54" s="2">
        <v>8.94</v>
      </c>
      <c r="C54" s="2">
        <v>13</v>
      </c>
      <c r="D54" s="2">
        <v>18</v>
      </c>
      <c r="E54" s="2">
        <v>443</v>
      </c>
      <c r="F54" s="2">
        <v>2021</v>
      </c>
      <c r="G54" s="2" t="s">
        <v>12</v>
      </c>
      <c r="H54" s="4">
        <v>44292</v>
      </c>
      <c r="I54" s="4">
        <v>44376</v>
      </c>
      <c r="J54" s="2" t="s">
        <v>15</v>
      </c>
      <c r="K54" s="2">
        <v>84</v>
      </c>
    </row>
    <row r="55" spans="1:11" ht="16.5" x14ac:dyDescent="0.3">
      <c r="A55" s="2" t="s">
        <v>41</v>
      </c>
      <c r="B55" s="2">
        <v>8.94</v>
      </c>
      <c r="C55" s="2">
        <v>13</v>
      </c>
      <c r="D55" s="2">
        <v>18</v>
      </c>
      <c r="E55" s="2">
        <v>443</v>
      </c>
      <c r="F55" s="2">
        <v>2021</v>
      </c>
      <c r="G55" s="2" t="s">
        <v>12</v>
      </c>
      <c r="H55" s="4">
        <v>44292</v>
      </c>
      <c r="I55" s="4">
        <v>44376</v>
      </c>
      <c r="J55" s="2" t="s">
        <v>40</v>
      </c>
      <c r="K55" s="2">
        <v>84</v>
      </c>
    </row>
    <row r="56" spans="1:11" ht="16.5" x14ac:dyDescent="0.3">
      <c r="A56" s="2" t="s">
        <v>41</v>
      </c>
      <c r="B56" s="2">
        <v>8.94</v>
      </c>
      <c r="C56" s="2">
        <v>13</v>
      </c>
      <c r="D56" s="2">
        <v>18</v>
      </c>
      <c r="E56" s="2">
        <v>443</v>
      </c>
      <c r="F56" s="2">
        <v>2021</v>
      </c>
      <c r="G56" s="2" t="s">
        <v>12</v>
      </c>
      <c r="H56" s="4">
        <v>44292</v>
      </c>
      <c r="I56" s="4">
        <v>44376</v>
      </c>
      <c r="J56" s="2" t="s">
        <v>21</v>
      </c>
      <c r="K56" s="2">
        <v>84</v>
      </c>
    </row>
    <row r="57" spans="1:11" ht="16.5" x14ac:dyDescent="0.3">
      <c r="A57" s="2" t="s">
        <v>42</v>
      </c>
      <c r="B57" s="2">
        <v>8.93</v>
      </c>
      <c r="C57" s="2">
        <v>24</v>
      </c>
      <c r="D57" s="2">
        <v>19</v>
      </c>
      <c r="E57" s="2">
        <v>123</v>
      </c>
      <c r="F57" s="2">
        <v>2008</v>
      </c>
      <c r="G57" s="2" t="s">
        <v>12</v>
      </c>
      <c r="H57" s="4">
        <v>39724</v>
      </c>
      <c r="I57" s="4">
        <v>39899</v>
      </c>
      <c r="J57" s="2" t="s">
        <v>15</v>
      </c>
      <c r="K57" s="2">
        <v>175</v>
      </c>
    </row>
    <row r="58" spans="1:11" ht="16.5" x14ac:dyDescent="0.3">
      <c r="A58" s="2" t="s">
        <v>42</v>
      </c>
      <c r="B58" s="2">
        <v>8.93</v>
      </c>
      <c r="C58" s="2">
        <v>24</v>
      </c>
      <c r="D58" s="2">
        <v>19</v>
      </c>
      <c r="E58" s="2">
        <v>123</v>
      </c>
      <c r="F58" s="2">
        <v>2008</v>
      </c>
      <c r="G58" s="2" t="s">
        <v>12</v>
      </c>
      <c r="H58" s="4">
        <v>39724</v>
      </c>
      <c r="I58" s="4">
        <v>39899</v>
      </c>
      <c r="J58" s="2" t="s">
        <v>40</v>
      </c>
      <c r="K58" s="2">
        <v>175</v>
      </c>
    </row>
    <row r="59" spans="1:11" ht="16.5" x14ac:dyDescent="0.3">
      <c r="A59" s="2" t="s">
        <v>43</v>
      </c>
      <c r="B59" s="2">
        <v>8.93</v>
      </c>
      <c r="C59" s="2">
        <v>201</v>
      </c>
      <c r="D59" s="2">
        <v>20</v>
      </c>
      <c r="E59" s="2">
        <v>147</v>
      </c>
      <c r="F59" s="2">
        <v>2006</v>
      </c>
      <c r="G59" s="2" t="s">
        <v>12</v>
      </c>
      <c r="H59" s="4">
        <v>38811</v>
      </c>
      <c r="I59" s="4">
        <v>40262</v>
      </c>
      <c r="J59" s="2" t="s">
        <v>19</v>
      </c>
      <c r="K59" s="2">
        <v>1451</v>
      </c>
    </row>
    <row r="60" spans="1:11" ht="16.5" x14ac:dyDescent="0.3">
      <c r="A60" s="2" t="s">
        <v>43</v>
      </c>
      <c r="B60" s="2">
        <v>8.93</v>
      </c>
      <c r="C60" s="2">
        <v>201</v>
      </c>
      <c r="D60" s="2">
        <v>20</v>
      </c>
      <c r="E60" s="2">
        <v>147</v>
      </c>
      <c r="F60" s="2">
        <v>2006</v>
      </c>
      <c r="G60" s="2" t="s">
        <v>12</v>
      </c>
      <c r="H60" s="4">
        <v>38811</v>
      </c>
      <c r="I60" s="4">
        <v>40262</v>
      </c>
      <c r="J60" s="2" t="s">
        <v>29</v>
      </c>
      <c r="K60" s="2">
        <v>1451</v>
      </c>
    </row>
    <row r="61" spans="1:11" ht="16.5" x14ac:dyDescent="0.3">
      <c r="A61" s="2" t="s">
        <v>43</v>
      </c>
      <c r="B61" s="2">
        <v>8.93</v>
      </c>
      <c r="C61" s="2">
        <v>201</v>
      </c>
      <c r="D61" s="2">
        <v>20</v>
      </c>
      <c r="E61" s="2">
        <v>147</v>
      </c>
      <c r="F61" s="2">
        <v>2006</v>
      </c>
      <c r="G61" s="2" t="s">
        <v>12</v>
      </c>
      <c r="H61" s="4">
        <v>38811</v>
      </c>
      <c r="I61" s="4">
        <v>40262</v>
      </c>
      <c r="J61" s="2" t="s">
        <v>25</v>
      </c>
      <c r="K61" s="2">
        <v>1451</v>
      </c>
    </row>
    <row r="62" spans="1:11" ht="16.5" x14ac:dyDescent="0.3">
      <c r="A62" s="2" t="s">
        <v>44</v>
      </c>
      <c r="B62" s="2">
        <v>8.93</v>
      </c>
      <c r="C62" s="2">
        <v>1</v>
      </c>
      <c r="D62" s="2">
        <v>21</v>
      </c>
      <c r="E62" s="2">
        <v>19</v>
      </c>
      <c r="F62" s="2">
        <v>2016</v>
      </c>
      <c r="G62" s="2" t="s">
        <v>12</v>
      </c>
      <c r="H62" s="4">
        <v>42630</v>
      </c>
      <c r="I62" s="2"/>
      <c r="J62" s="2" t="s">
        <v>14</v>
      </c>
      <c r="K62" s="2"/>
    </row>
    <row r="63" spans="1:11" ht="16.5" x14ac:dyDescent="0.3">
      <c r="A63" s="2" t="s">
        <v>44</v>
      </c>
      <c r="B63" s="2">
        <v>8.93</v>
      </c>
      <c r="C63" s="2">
        <v>1</v>
      </c>
      <c r="D63" s="2">
        <v>21</v>
      </c>
      <c r="E63" s="2">
        <v>19</v>
      </c>
      <c r="F63" s="2">
        <v>2016</v>
      </c>
      <c r="G63" s="2" t="s">
        <v>12</v>
      </c>
      <c r="H63" s="4">
        <v>42630</v>
      </c>
      <c r="I63" s="2"/>
      <c r="J63" s="2" t="s">
        <v>15</v>
      </c>
      <c r="K63" s="2"/>
    </row>
    <row r="64" spans="1:11" ht="16.5" x14ac:dyDescent="0.3">
      <c r="A64" s="2" t="s">
        <v>45</v>
      </c>
      <c r="B64" s="2">
        <v>8.92</v>
      </c>
      <c r="C64" s="2">
        <v>25</v>
      </c>
      <c r="D64" s="2">
        <v>22</v>
      </c>
      <c r="E64" s="2">
        <v>48</v>
      </c>
      <c r="F64" s="2">
        <v>2008</v>
      </c>
      <c r="G64" s="2" t="s">
        <v>12</v>
      </c>
      <c r="H64" s="4">
        <v>39544</v>
      </c>
      <c r="I64" s="4">
        <v>39719</v>
      </c>
      <c r="J64" s="2" t="s">
        <v>14</v>
      </c>
      <c r="K64" s="2">
        <v>175</v>
      </c>
    </row>
    <row r="65" spans="1:11" ht="16.5" x14ac:dyDescent="0.3">
      <c r="A65" s="2" t="s">
        <v>45</v>
      </c>
      <c r="B65" s="2">
        <v>8.92</v>
      </c>
      <c r="C65" s="2">
        <v>25</v>
      </c>
      <c r="D65" s="2">
        <v>22</v>
      </c>
      <c r="E65" s="2">
        <v>48</v>
      </c>
      <c r="F65" s="2">
        <v>2008</v>
      </c>
      <c r="G65" s="2" t="s">
        <v>12</v>
      </c>
      <c r="H65" s="4">
        <v>39544</v>
      </c>
      <c r="I65" s="4">
        <v>39719</v>
      </c>
      <c r="J65" s="2" t="s">
        <v>15</v>
      </c>
      <c r="K65" s="2">
        <v>175</v>
      </c>
    </row>
    <row r="66" spans="1:11" ht="16.5" x14ac:dyDescent="0.3">
      <c r="A66" s="2" t="s">
        <v>45</v>
      </c>
      <c r="B66" s="2">
        <v>8.92</v>
      </c>
      <c r="C66" s="2">
        <v>25</v>
      </c>
      <c r="D66" s="2">
        <v>22</v>
      </c>
      <c r="E66" s="2">
        <v>48</v>
      </c>
      <c r="F66" s="2">
        <v>2008</v>
      </c>
      <c r="G66" s="2" t="s">
        <v>12</v>
      </c>
      <c r="H66" s="4">
        <v>39544</v>
      </c>
      <c r="I66" s="4">
        <v>39719</v>
      </c>
      <c r="J66" s="2" t="s">
        <v>25</v>
      </c>
      <c r="K66" s="2">
        <v>175</v>
      </c>
    </row>
    <row r="67" spans="1:11" ht="16.5" x14ac:dyDescent="0.3">
      <c r="A67" s="2" t="s">
        <v>46</v>
      </c>
      <c r="B67" s="2">
        <v>8.91</v>
      </c>
      <c r="C67" s="2">
        <v>24</v>
      </c>
      <c r="D67" s="2">
        <v>23</v>
      </c>
      <c r="E67" s="2">
        <v>533</v>
      </c>
      <c r="F67" s="2">
        <v>2025</v>
      </c>
      <c r="G67" s="2" t="s">
        <v>12</v>
      </c>
      <c r="H67" s="4">
        <v>45667</v>
      </c>
      <c r="I67" s="4">
        <v>45842</v>
      </c>
      <c r="J67" s="2" t="s">
        <v>15</v>
      </c>
      <c r="K67" s="2">
        <v>175</v>
      </c>
    </row>
    <row r="68" spans="1:11" ht="16.5" x14ac:dyDescent="0.3">
      <c r="A68" s="2" t="s">
        <v>46</v>
      </c>
      <c r="B68" s="2">
        <v>8.91</v>
      </c>
      <c r="C68" s="2">
        <v>24</v>
      </c>
      <c r="D68" s="2">
        <v>23</v>
      </c>
      <c r="E68" s="2">
        <v>533</v>
      </c>
      <c r="F68" s="2">
        <v>2025</v>
      </c>
      <c r="G68" s="2" t="s">
        <v>12</v>
      </c>
      <c r="H68" s="4">
        <v>45667</v>
      </c>
      <c r="I68" s="4">
        <v>45842</v>
      </c>
      <c r="J68" s="2" t="s">
        <v>20</v>
      </c>
      <c r="K68" s="2">
        <v>175</v>
      </c>
    </row>
    <row r="69" spans="1:11" ht="16.5" x14ac:dyDescent="0.3">
      <c r="A69" s="2" t="s">
        <v>47</v>
      </c>
      <c r="B69" s="2">
        <v>8.9</v>
      </c>
      <c r="C69" s="2">
        <v>22</v>
      </c>
      <c r="D69" s="2">
        <v>24</v>
      </c>
      <c r="E69" s="2">
        <v>608</v>
      </c>
      <c r="F69" s="2">
        <v>2017</v>
      </c>
      <c r="G69" s="2" t="s">
        <v>12</v>
      </c>
      <c r="H69" s="4">
        <v>43022</v>
      </c>
      <c r="I69" s="4">
        <v>43190</v>
      </c>
      <c r="J69" s="2" t="s">
        <v>15</v>
      </c>
      <c r="K69" s="2">
        <v>168</v>
      </c>
    </row>
    <row r="70" spans="1:11" ht="16.5" x14ac:dyDescent="0.3">
      <c r="A70" s="2" t="s">
        <v>48</v>
      </c>
      <c r="B70" s="2">
        <v>8.89</v>
      </c>
      <c r="C70" s="2">
        <v>1</v>
      </c>
      <c r="D70" s="2">
        <v>25</v>
      </c>
      <c r="E70" s="2">
        <v>1071</v>
      </c>
      <c r="F70" s="2">
        <v>2013</v>
      </c>
      <c r="G70" s="2" t="s">
        <v>12</v>
      </c>
      <c r="H70" s="4">
        <v>41461</v>
      </c>
      <c r="I70" s="2"/>
      <c r="J70" s="2" t="s">
        <v>19</v>
      </c>
      <c r="K70" s="2"/>
    </row>
    <row r="71" spans="1:11" ht="16.5" x14ac:dyDescent="0.3">
      <c r="A71" s="2" t="s">
        <v>48</v>
      </c>
      <c r="B71" s="2">
        <v>8.89</v>
      </c>
      <c r="C71" s="2">
        <v>1</v>
      </c>
      <c r="D71" s="2">
        <v>25</v>
      </c>
      <c r="E71" s="2">
        <v>1071</v>
      </c>
      <c r="F71" s="2">
        <v>2013</v>
      </c>
      <c r="G71" s="2" t="s">
        <v>12</v>
      </c>
      <c r="H71" s="4">
        <v>41461</v>
      </c>
      <c r="I71" s="2"/>
      <c r="J71" s="2" t="s">
        <v>29</v>
      </c>
      <c r="K71" s="2"/>
    </row>
    <row r="72" spans="1:11" ht="16.5" x14ac:dyDescent="0.3">
      <c r="A72" s="2" t="s">
        <v>48</v>
      </c>
      <c r="B72" s="2">
        <v>8.89</v>
      </c>
      <c r="C72" s="2">
        <v>1</v>
      </c>
      <c r="D72" s="2">
        <v>25</v>
      </c>
      <c r="E72" s="2">
        <v>1071</v>
      </c>
      <c r="F72" s="2">
        <v>2013</v>
      </c>
      <c r="G72" s="2" t="s">
        <v>12</v>
      </c>
      <c r="H72" s="4">
        <v>41461</v>
      </c>
      <c r="I72" s="2"/>
      <c r="J72" s="2" t="s">
        <v>25</v>
      </c>
      <c r="K72" s="2"/>
    </row>
    <row r="73" spans="1:11" ht="16.5" x14ac:dyDescent="0.3">
      <c r="A73" s="2" t="s">
        <v>49</v>
      </c>
      <c r="B73" s="2">
        <v>8.89</v>
      </c>
      <c r="C73" s="2">
        <v>74</v>
      </c>
      <c r="D73" s="2">
        <v>26</v>
      </c>
      <c r="E73" s="2">
        <v>118</v>
      </c>
      <c r="F73" s="2">
        <v>2004</v>
      </c>
      <c r="G73" s="2" t="s">
        <v>12</v>
      </c>
      <c r="H73" s="4">
        <v>38084</v>
      </c>
      <c r="I73" s="4">
        <v>38623</v>
      </c>
      <c r="J73" s="2" t="s">
        <v>15</v>
      </c>
      <c r="K73" s="2">
        <v>539</v>
      </c>
    </row>
    <row r="74" spans="1:11" ht="16.5" x14ac:dyDescent="0.3">
      <c r="A74" s="2" t="s">
        <v>49</v>
      </c>
      <c r="B74" s="2">
        <v>8.89</v>
      </c>
      <c r="C74" s="2">
        <v>74</v>
      </c>
      <c r="D74" s="2">
        <v>26</v>
      </c>
      <c r="E74" s="2">
        <v>118</v>
      </c>
      <c r="F74" s="2">
        <v>2004</v>
      </c>
      <c r="G74" s="2" t="s">
        <v>12</v>
      </c>
      <c r="H74" s="4">
        <v>38084</v>
      </c>
      <c r="I74" s="4">
        <v>38623</v>
      </c>
      <c r="J74" s="2" t="s">
        <v>20</v>
      </c>
      <c r="K74" s="2">
        <v>539</v>
      </c>
    </row>
    <row r="75" spans="1:11" ht="16.5" x14ac:dyDescent="0.3">
      <c r="A75" s="2" t="s">
        <v>49</v>
      </c>
      <c r="B75" s="2">
        <v>8.89</v>
      </c>
      <c r="C75" s="2">
        <v>74</v>
      </c>
      <c r="D75" s="2">
        <v>26</v>
      </c>
      <c r="E75" s="2">
        <v>118</v>
      </c>
      <c r="F75" s="2">
        <v>2004</v>
      </c>
      <c r="G75" s="2" t="s">
        <v>12</v>
      </c>
      <c r="H75" s="4">
        <v>38084</v>
      </c>
      <c r="I75" s="4">
        <v>38623</v>
      </c>
      <c r="J75" s="2" t="s">
        <v>26</v>
      </c>
      <c r="K75" s="2">
        <v>539</v>
      </c>
    </row>
    <row r="76" spans="1:11" ht="16.5" x14ac:dyDescent="0.3">
      <c r="A76" s="2" t="s">
        <v>50</v>
      </c>
      <c r="B76" s="2">
        <v>8.8800000000000008</v>
      </c>
      <c r="C76" s="2">
        <v>14</v>
      </c>
      <c r="D76" s="2">
        <v>27</v>
      </c>
      <c r="E76" s="2">
        <v>1242</v>
      </c>
      <c r="F76" s="2">
        <v>2018</v>
      </c>
      <c r="G76" s="2" t="s">
        <v>12</v>
      </c>
      <c r="H76" s="4">
        <v>43290</v>
      </c>
      <c r="I76" s="4">
        <v>43381</v>
      </c>
      <c r="J76" s="2" t="s">
        <v>19</v>
      </c>
      <c r="K76" s="2">
        <v>91</v>
      </c>
    </row>
    <row r="77" spans="1:11" ht="16.5" x14ac:dyDescent="0.3">
      <c r="A77" s="2" t="s">
        <v>50</v>
      </c>
      <c r="B77" s="2">
        <v>8.8800000000000008</v>
      </c>
      <c r="C77" s="2">
        <v>14</v>
      </c>
      <c r="D77" s="2">
        <v>27</v>
      </c>
      <c r="E77" s="2">
        <v>1242</v>
      </c>
      <c r="F77" s="2">
        <v>2018</v>
      </c>
      <c r="G77" s="2" t="s">
        <v>12</v>
      </c>
      <c r="H77" s="4">
        <v>43290</v>
      </c>
      <c r="I77" s="4">
        <v>43381</v>
      </c>
      <c r="J77" s="2" t="s">
        <v>29</v>
      </c>
      <c r="K77" s="2">
        <v>91</v>
      </c>
    </row>
    <row r="78" spans="1:11" ht="16.5" x14ac:dyDescent="0.3">
      <c r="A78" s="2" t="s">
        <v>50</v>
      </c>
      <c r="B78" s="2">
        <v>8.8800000000000008</v>
      </c>
      <c r="C78" s="2">
        <v>14</v>
      </c>
      <c r="D78" s="2">
        <v>27</v>
      </c>
      <c r="E78" s="2">
        <v>1242</v>
      </c>
      <c r="F78" s="2">
        <v>2018</v>
      </c>
      <c r="G78" s="2" t="s">
        <v>12</v>
      </c>
      <c r="H78" s="4">
        <v>43290</v>
      </c>
      <c r="I78" s="4">
        <v>43381</v>
      </c>
      <c r="J78" s="2" t="s">
        <v>25</v>
      </c>
      <c r="K78" s="2">
        <v>91</v>
      </c>
    </row>
    <row r="79" spans="1:11" ht="16.5" x14ac:dyDescent="0.3">
      <c r="A79" s="2" t="s">
        <v>51</v>
      </c>
      <c r="B79" s="2">
        <v>8.86</v>
      </c>
      <c r="C79" s="2">
        <v>2</v>
      </c>
      <c r="D79" s="2">
        <v>29</v>
      </c>
      <c r="E79" s="2">
        <v>251</v>
      </c>
      <c r="F79" s="2">
        <v>2023</v>
      </c>
      <c r="G79" s="2" t="s">
        <v>12</v>
      </c>
      <c r="H79" s="4">
        <v>44989</v>
      </c>
      <c r="I79" s="4">
        <v>45235</v>
      </c>
      <c r="J79" s="2" t="s">
        <v>19</v>
      </c>
      <c r="K79" s="2">
        <v>246</v>
      </c>
    </row>
    <row r="80" spans="1:11" ht="16.5" x14ac:dyDescent="0.3">
      <c r="A80" s="2" t="s">
        <v>51</v>
      </c>
      <c r="B80" s="2">
        <v>8.86</v>
      </c>
      <c r="C80" s="2">
        <v>2</v>
      </c>
      <c r="D80" s="2">
        <v>29</v>
      </c>
      <c r="E80" s="2">
        <v>251</v>
      </c>
      <c r="F80" s="2">
        <v>2023</v>
      </c>
      <c r="G80" s="2" t="s">
        <v>12</v>
      </c>
      <c r="H80" s="4">
        <v>44989</v>
      </c>
      <c r="I80" s="4">
        <v>45235</v>
      </c>
      <c r="J80" s="2" t="s">
        <v>15</v>
      </c>
      <c r="K80" s="2">
        <v>246</v>
      </c>
    </row>
    <row r="81" spans="1:11" ht="16.5" x14ac:dyDescent="0.3">
      <c r="A81" s="2" t="s">
        <v>51</v>
      </c>
      <c r="B81" s="2">
        <v>8.86</v>
      </c>
      <c r="C81" s="2">
        <v>2</v>
      </c>
      <c r="D81" s="2">
        <v>29</v>
      </c>
      <c r="E81" s="2">
        <v>251</v>
      </c>
      <c r="F81" s="2">
        <v>2023</v>
      </c>
      <c r="G81" s="2" t="s">
        <v>12</v>
      </c>
      <c r="H81" s="4">
        <v>44989</v>
      </c>
      <c r="I81" s="4">
        <v>45235</v>
      </c>
      <c r="J81" s="2" t="s">
        <v>26</v>
      </c>
      <c r="K81" s="2">
        <v>246</v>
      </c>
    </row>
    <row r="82" spans="1:11" ht="16.5" x14ac:dyDescent="0.3">
      <c r="A82" s="2" t="s">
        <v>52</v>
      </c>
      <c r="B82" s="2">
        <v>8.86</v>
      </c>
      <c r="C82" s="2">
        <v>7</v>
      </c>
      <c r="D82" s="2">
        <v>28</v>
      </c>
      <c r="E82" s="2">
        <v>612</v>
      </c>
      <c r="F82" s="2">
        <v>2017</v>
      </c>
      <c r="G82" s="2" t="s">
        <v>12</v>
      </c>
      <c r="H82" s="4">
        <v>42959</v>
      </c>
      <c r="I82" s="4">
        <v>42960</v>
      </c>
      <c r="J82" s="2" t="s">
        <v>29</v>
      </c>
      <c r="K82" s="2">
        <v>1</v>
      </c>
    </row>
    <row r="83" spans="1:11" ht="16.5" x14ac:dyDescent="0.3">
      <c r="A83" s="2" t="s">
        <v>52</v>
      </c>
      <c r="B83" s="2">
        <v>8.86</v>
      </c>
      <c r="C83" s="2">
        <v>7</v>
      </c>
      <c r="D83" s="2">
        <v>28</v>
      </c>
      <c r="E83" s="2">
        <v>612</v>
      </c>
      <c r="F83" s="2">
        <v>2017</v>
      </c>
      <c r="G83" s="2" t="s">
        <v>12</v>
      </c>
      <c r="H83" s="4">
        <v>42959</v>
      </c>
      <c r="I83" s="4">
        <v>42960</v>
      </c>
      <c r="J83" s="2" t="s">
        <v>20</v>
      </c>
      <c r="K83" s="2">
        <v>1</v>
      </c>
    </row>
    <row r="84" spans="1:11" ht="16.5" x14ac:dyDescent="0.3">
      <c r="A84" s="2" t="s">
        <v>52</v>
      </c>
      <c r="B84" s="2">
        <v>8.86</v>
      </c>
      <c r="C84" s="2">
        <v>7</v>
      </c>
      <c r="D84" s="2">
        <v>28</v>
      </c>
      <c r="E84" s="2">
        <v>612</v>
      </c>
      <c r="F84" s="2">
        <v>2017</v>
      </c>
      <c r="G84" s="2" t="s">
        <v>12</v>
      </c>
      <c r="H84" s="4">
        <v>42959</v>
      </c>
      <c r="I84" s="4">
        <v>42960</v>
      </c>
      <c r="J84" s="2" t="s">
        <v>21</v>
      </c>
      <c r="K84" s="2">
        <v>1</v>
      </c>
    </row>
    <row r="85" spans="1:11" ht="16.5" x14ac:dyDescent="0.3">
      <c r="A85" s="2" t="s">
        <v>53</v>
      </c>
      <c r="B85" s="2">
        <v>8.85</v>
      </c>
      <c r="C85" s="2">
        <v>24</v>
      </c>
      <c r="D85" s="2">
        <v>31</v>
      </c>
      <c r="E85" s="2">
        <v>271</v>
      </c>
      <c r="F85" s="2">
        <v>2023</v>
      </c>
      <c r="G85" s="2" t="s">
        <v>12</v>
      </c>
      <c r="H85" s="4">
        <v>45221</v>
      </c>
      <c r="I85" s="4">
        <v>45375</v>
      </c>
      <c r="J85" s="2" t="s">
        <v>15</v>
      </c>
      <c r="K85" s="2">
        <v>154</v>
      </c>
    </row>
    <row r="86" spans="1:11" ht="16.5" x14ac:dyDescent="0.3">
      <c r="A86" s="2" t="s">
        <v>53</v>
      </c>
      <c r="B86" s="2">
        <v>8.85</v>
      </c>
      <c r="C86" s="2">
        <v>24</v>
      </c>
      <c r="D86" s="2">
        <v>31</v>
      </c>
      <c r="E86" s="2">
        <v>271</v>
      </c>
      <c r="F86" s="2">
        <v>2023</v>
      </c>
      <c r="G86" s="2" t="s">
        <v>12</v>
      </c>
      <c r="H86" s="4">
        <v>45221</v>
      </c>
      <c r="I86" s="4">
        <v>45375</v>
      </c>
      <c r="J86" s="2" t="s">
        <v>20</v>
      </c>
      <c r="K86" s="2">
        <v>154</v>
      </c>
    </row>
    <row r="87" spans="1:11" ht="16.5" x14ac:dyDescent="0.3">
      <c r="A87" s="2" t="s">
        <v>54</v>
      </c>
      <c r="B87" s="2">
        <v>8.85</v>
      </c>
      <c r="C87" s="2">
        <v>26</v>
      </c>
      <c r="D87" s="2">
        <v>30</v>
      </c>
      <c r="E87" s="2">
        <v>1949</v>
      </c>
      <c r="F87" s="2">
        <v>2020</v>
      </c>
      <c r="G87" s="2" t="s">
        <v>12</v>
      </c>
      <c r="H87" s="4">
        <v>43927</v>
      </c>
      <c r="I87" s="4">
        <v>44486</v>
      </c>
      <c r="J87" s="2" t="s">
        <v>19</v>
      </c>
      <c r="K87" s="2">
        <v>559</v>
      </c>
    </row>
    <row r="88" spans="1:11" ht="16.5" x14ac:dyDescent="0.3">
      <c r="A88" s="2" t="s">
        <v>55</v>
      </c>
      <c r="B88" s="2">
        <v>8.83</v>
      </c>
      <c r="C88" s="2">
        <v>1</v>
      </c>
      <c r="D88" s="2">
        <v>32</v>
      </c>
      <c r="E88" s="2">
        <v>2649</v>
      </c>
      <c r="F88" s="2">
        <v>2024</v>
      </c>
      <c r="G88" s="2" t="s">
        <v>12</v>
      </c>
      <c r="H88" s="4">
        <v>45604</v>
      </c>
      <c r="I88" s="2"/>
      <c r="J88" s="2" t="s">
        <v>19</v>
      </c>
      <c r="K88" s="2"/>
    </row>
    <row r="89" spans="1:11" ht="16.5" x14ac:dyDescent="0.3">
      <c r="A89" s="2" t="s">
        <v>55</v>
      </c>
      <c r="B89" s="2">
        <v>8.83</v>
      </c>
      <c r="C89" s="2">
        <v>1</v>
      </c>
      <c r="D89" s="2">
        <v>32</v>
      </c>
      <c r="E89" s="2">
        <v>2649</v>
      </c>
      <c r="F89" s="2">
        <v>2024</v>
      </c>
      <c r="G89" s="2" t="s">
        <v>12</v>
      </c>
      <c r="H89" s="4">
        <v>45604</v>
      </c>
      <c r="I89" s="2"/>
      <c r="J89" s="2" t="s">
        <v>15</v>
      </c>
      <c r="K89" s="2"/>
    </row>
    <row r="90" spans="1:11" ht="16.5" x14ac:dyDescent="0.3">
      <c r="A90" s="2" t="s">
        <v>55</v>
      </c>
      <c r="B90" s="2">
        <v>8.83</v>
      </c>
      <c r="C90" s="2">
        <v>1</v>
      </c>
      <c r="D90" s="2">
        <v>32</v>
      </c>
      <c r="E90" s="2">
        <v>2649</v>
      </c>
      <c r="F90" s="2">
        <v>2024</v>
      </c>
      <c r="G90" s="2" t="s">
        <v>12</v>
      </c>
      <c r="H90" s="4">
        <v>45604</v>
      </c>
      <c r="I90" s="2"/>
      <c r="J90" s="2" t="s">
        <v>26</v>
      </c>
      <c r="K90" s="2"/>
    </row>
    <row r="91" spans="1:11" ht="16.5" x14ac:dyDescent="0.3">
      <c r="A91" s="2" t="s">
        <v>56</v>
      </c>
      <c r="B91" s="2">
        <v>8.83</v>
      </c>
      <c r="C91" s="2">
        <v>1</v>
      </c>
      <c r="D91" s="2">
        <v>33</v>
      </c>
      <c r="E91" s="2">
        <v>323</v>
      </c>
      <c r="F91" s="2">
        <v>2020</v>
      </c>
      <c r="G91" s="2" t="s">
        <v>12</v>
      </c>
      <c r="H91" s="4">
        <v>44092</v>
      </c>
      <c r="I91" s="2"/>
      <c r="J91" s="2" t="s">
        <v>14</v>
      </c>
      <c r="K91" s="2"/>
    </row>
    <row r="92" spans="1:11" ht="16.5" x14ac:dyDescent="0.3">
      <c r="A92" s="2" t="s">
        <v>56</v>
      </c>
      <c r="B92" s="2">
        <v>8.83</v>
      </c>
      <c r="C92" s="2">
        <v>1</v>
      </c>
      <c r="D92" s="2">
        <v>33</v>
      </c>
      <c r="E92" s="2">
        <v>323</v>
      </c>
      <c r="F92" s="2">
        <v>2020</v>
      </c>
      <c r="G92" s="2" t="s">
        <v>12</v>
      </c>
      <c r="H92" s="4">
        <v>44092</v>
      </c>
      <c r="I92" s="2"/>
      <c r="J92" s="2" t="s">
        <v>15</v>
      </c>
      <c r="K92" s="2"/>
    </row>
    <row r="93" spans="1:11" ht="16.5" x14ac:dyDescent="0.3">
      <c r="A93" s="2" t="s">
        <v>57</v>
      </c>
      <c r="B93" s="2">
        <v>8.82</v>
      </c>
      <c r="C93" s="2">
        <v>24</v>
      </c>
      <c r="D93" s="2">
        <v>35</v>
      </c>
      <c r="E93" s="2">
        <v>259</v>
      </c>
      <c r="F93" s="2">
        <v>2023</v>
      </c>
      <c r="G93" s="2" t="s">
        <v>12</v>
      </c>
      <c r="H93" s="4">
        <v>44936</v>
      </c>
      <c r="I93" s="4">
        <v>45097</v>
      </c>
      <c r="J93" s="2" t="s">
        <v>19</v>
      </c>
      <c r="K93" s="2">
        <v>161</v>
      </c>
    </row>
    <row r="94" spans="1:11" ht="16.5" x14ac:dyDescent="0.3">
      <c r="A94" s="2" t="s">
        <v>57</v>
      </c>
      <c r="B94" s="2">
        <v>8.82</v>
      </c>
      <c r="C94" s="2">
        <v>24</v>
      </c>
      <c r="D94" s="2">
        <v>35</v>
      </c>
      <c r="E94" s="2">
        <v>259</v>
      </c>
      <c r="F94" s="2">
        <v>2023</v>
      </c>
      <c r="G94" s="2" t="s">
        <v>12</v>
      </c>
      <c r="H94" s="4">
        <v>44936</v>
      </c>
      <c r="I94" s="4">
        <v>45097</v>
      </c>
      <c r="J94" s="2" t="s">
        <v>13</v>
      </c>
      <c r="K94" s="2">
        <v>161</v>
      </c>
    </row>
    <row r="95" spans="1:11" ht="16.5" x14ac:dyDescent="0.3">
      <c r="A95" s="2" t="s">
        <v>57</v>
      </c>
      <c r="B95" s="2">
        <v>8.82</v>
      </c>
      <c r="C95" s="2">
        <v>24</v>
      </c>
      <c r="D95" s="2">
        <v>35</v>
      </c>
      <c r="E95" s="2">
        <v>259</v>
      </c>
      <c r="F95" s="2">
        <v>2023</v>
      </c>
      <c r="G95" s="2" t="s">
        <v>12</v>
      </c>
      <c r="H95" s="4">
        <v>44936</v>
      </c>
      <c r="I95" s="4">
        <v>45097</v>
      </c>
      <c r="J95" s="2" t="s">
        <v>15</v>
      </c>
      <c r="K95" s="2">
        <v>161</v>
      </c>
    </row>
    <row r="96" spans="1:11" ht="16.5" x14ac:dyDescent="0.3">
      <c r="A96" s="2" t="s">
        <v>58</v>
      </c>
      <c r="B96" s="2">
        <v>8.82</v>
      </c>
      <c r="C96" s="2">
        <v>1</v>
      </c>
      <c r="D96" s="2">
        <v>34</v>
      </c>
      <c r="E96" s="2">
        <v>11</v>
      </c>
      <c r="F96" s="2">
        <v>2016</v>
      </c>
      <c r="G96" s="2" t="s">
        <v>12</v>
      </c>
      <c r="H96" s="4">
        <v>42608</v>
      </c>
      <c r="I96" s="2"/>
      <c r="J96" s="2" t="s">
        <v>14</v>
      </c>
      <c r="K96" s="2"/>
    </row>
    <row r="97" spans="1:11" ht="16.5" x14ac:dyDescent="0.3">
      <c r="A97" s="2" t="s">
        <v>58</v>
      </c>
      <c r="B97" s="2">
        <v>8.82</v>
      </c>
      <c r="C97" s="2">
        <v>1</v>
      </c>
      <c r="D97" s="2">
        <v>34</v>
      </c>
      <c r="E97" s="2">
        <v>11</v>
      </c>
      <c r="F97" s="2">
        <v>2016</v>
      </c>
      <c r="G97" s="2" t="s">
        <v>12</v>
      </c>
      <c r="H97" s="4">
        <v>42608</v>
      </c>
      <c r="I97" s="2"/>
      <c r="J97" s="2" t="s">
        <v>15</v>
      </c>
      <c r="K97" s="2"/>
    </row>
    <row r="98" spans="1:11" ht="16.5" x14ac:dyDescent="0.3">
      <c r="A98" s="2" t="s">
        <v>59</v>
      </c>
      <c r="B98" s="2">
        <v>8.81</v>
      </c>
      <c r="C98" s="2">
        <v>13</v>
      </c>
      <c r="D98" s="2">
        <v>37</v>
      </c>
      <c r="E98" s="2">
        <v>2517</v>
      </c>
      <c r="F98" s="2">
        <v>2026</v>
      </c>
      <c r="G98" s="2" t="s">
        <v>12</v>
      </c>
      <c r="H98" s="4">
        <v>46026</v>
      </c>
      <c r="I98" s="4">
        <v>46110</v>
      </c>
      <c r="J98" s="2" t="s">
        <v>15</v>
      </c>
      <c r="K98" s="2">
        <v>84</v>
      </c>
    </row>
    <row r="99" spans="1:11" ht="16.5" x14ac:dyDescent="0.3">
      <c r="A99" s="2" t="s">
        <v>60</v>
      </c>
      <c r="B99" s="2">
        <v>8.81</v>
      </c>
      <c r="C99" s="2">
        <v>12</v>
      </c>
      <c r="D99" s="2">
        <v>36</v>
      </c>
      <c r="E99" s="2">
        <v>1187</v>
      </c>
      <c r="F99" s="2">
        <v>2018</v>
      </c>
      <c r="G99" s="2" t="s">
        <v>12</v>
      </c>
      <c r="H99" s="4">
        <v>43108</v>
      </c>
      <c r="I99" s="4">
        <v>43185</v>
      </c>
      <c r="J99" s="2" t="s">
        <v>19</v>
      </c>
      <c r="K99" s="2">
        <v>77</v>
      </c>
    </row>
    <row r="100" spans="1:11" ht="16.5" x14ac:dyDescent="0.3">
      <c r="A100" s="2" t="s">
        <v>60</v>
      </c>
      <c r="B100" s="2">
        <v>8.81</v>
      </c>
      <c r="C100" s="2">
        <v>12</v>
      </c>
      <c r="D100" s="2">
        <v>36</v>
      </c>
      <c r="E100" s="2">
        <v>1187</v>
      </c>
      <c r="F100" s="2">
        <v>2018</v>
      </c>
      <c r="G100" s="2" t="s">
        <v>12</v>
      </c>
      <c r="H100" s="4">
        <v>43108</v>
      </c>
      <c r="I100" s="4">
        <v>43185</v>
      </c>
      <c r="J100" s="2" t="s">
        <v>29</v>
      </c>
      <c r="K100" s="2">
        <v>77</v>
      </c>
    </row>
    <row r="101" spans="1:11" ht="16.5" x14ac:dyDescent="0.3">
      <c r="A101" s="2" t="s">
        <v>60</v>
      </c>
      <c r="B101" s="2">
        <v>8.81</v>
      </c>
      <c r="C101" s="2">
        <v>12</v>
      </c>
      <c r="D101" s="2">
        <v>36</v>
      </c>
      <c r="E101" s="2">
        <v>1187</v>
      </c>
      <c r="F101" s="2">
        <v>2018</v>
      </c>
      <c r="G101" s="2" t="s">
        <v>12</v>
      </c>
      <c r="H101" s="4">
        <v>43108</v>
      </c>
      <c r="I101" s="4">
        <v>43185</v>
      </c>
      <c r="J101" s="2" t="s">
        <v>25</v>
      </c>
      <c r="K101" s="2">
        <v>77</v>
      </c>
    </row>
    <row r="102" spans="1:11" ht="16.5" x14ac:dyDescent="0.3">
      <c r="A102" s="2" t="s">
        <v>61</v>
      </c>
      <c r="B102" s="2">
        <v>8.8000000000000007</v>
      </c>
      <c r="C102" s="2">
        <v>47</v>
      </c>
      <c r="D102" s="2">
        <v>38</v>
      </c>
      <c r="E102" s="2">
        <v>3024</v>
      </c>
      <c r="F102" s="2">
        <v>1980</v>
      </c>
      <c r="G102" s="2" t="s">
        <v>12</v>
      </c>
      <c r="H102" s="4">
        <v>29507</v>
      </c>
      <c r="I102" s="4">
        <v>29829</v>
      </c>
      <c r="J102" s="2" t="s">
        <v>15</v>
      </c>
      <c r="K102" s="2">
        <v>322</v>
      </c>
    </row>
    <row r="103" spans="1:11" ht="16.5" x14ac:dyDescent="0.3">
      <c r="A103" s="2" t="s">
        <v>61</v>
      </c>
      <c r="B103" s="2">
        <v>8.8000000000000007</v>
      </c>
      <c r="C103" s="2">
        <v>47</v>
      </c>
      <c r="D103" s="2">
        <v>38</v>
      </c>
      <c r="E103" s="2">
        <v>3024</v>
      </c>
      <c r="F103" s="2">
        <v>1980</v>
      </c>
      <c r="G103" s="2" t="s">
        <v>12</v>
      </c>
      <c r="H103" s="4">
        <v>29507</v>
      </c>
      <c r="I103" s="4">
        <v>29829</v>
      </c>
      <c r="J103" s="2" t="s">
        <v>62</v>
      </c>
      <c r="K103" s="2">
        <v>322</v>
      </c>
    </row>
    <row r="104" spans="1:11" ht="16.5" x14ac:dyDescent="0.3">
      <c r="A104" s="2" t="s">
        <v>63</v>
      </c>
      <c r="B104" s="2">
        <v>8.7899999999999991</v>
      </c>
      <c r="C104" s="2">
        <v>16</v>
      </c>
      <c r="D104" s="2">
        <v>39</v>
      </c>
      <c r="E104" s="2">
        <v>30</v>
      </c>
      <c r="F104" s="2">
        <v>2021</v>
      </c>
      <c r="G104" s="2" t="s">
        <v>12</v>
      </c>
      <c r="H104" s="4">
        <v>44172</v>
      </c>
      <c r="I104" s="4">
        <v>44284</v>
      </c>
      <c r="J104" s="2" t="s">
        <v>19</v>
      </c>
      <c r="K104" s="2">
        <v>112</v>
      </c>
    </row>
    <row r="105" spans="1:11" ht="16.5" x14ac:dyDescent="0.3">
      <c r="A105" s="2" t="s">
        <v>63</v>
      </c>
      <c r="B105" s="2">
        <v>8.7899999999999991</v>
      </c>
      <c r="C105" s="2">
        <v>16</v>
      </c>
      <c r="D105" s="2">
        <v>39</v>
      </c>
      <c r="E105" s="2">
        <v>30</v>
      </c>
      <c r="F105" s="2">
        <v>2021</v>
      </c>
      <c r="G105" s="2" t="s">
        <v>12</v>
      </c>
      <c r="H105" s="4">
        <v>44172</v>
      </c>
      <c r="I105" s="4">
        <v>44284</v>
      </c>
      <c r="J105" s="2" t="s">
        <v>15</v>
      </c>
      <c r="K105" s="2">
        <v>112</v>
      </c>
    </row>
    <row r="106" spans="1:11" ht="16.5" x14ac:dyDescent="0.3">
      <c r="A106" s="2" t="s">
        <v>63</v>
      </c>
      <c r="B106" s="2">
        <v>8.7899999999999991</v>
      </c>
      <c r="C106" s="2">
        <v>16</v>
      </c>
      <c r="D106" s="2">
        <v>39</v>
      </c>
      <c r="E106" s="2">
        <v>30</v>
      </c>
      <c r="F106" s="2">
        <v>2021</v>
      </c>
      <c r="G106" s="2" t="s">
        <v>12</v>
      </c>
      <c r="H106" s="4">
        <v>44172</v>
      </c>
      <c r="I106" s="4">
        <v>44284</v>
      </c>
      <c r="J106" s="2" t="s">
        <v>26</v>
      </c>
      <c r="K106" s="2">
        <v>112</v>
      </c>
    </row>
    <row r="107" spans="1:11" ht="16.5" x14ac:dyDescent="0.3">
      <c r="A107" s="2" t="s">
        <v>64</v>
      </c>
      <c r="B107" s="2">
        <v>8.7799999999999994</v>
      </c>
      <c r="C107" s="2">
        <v>13</v>
      </c>
      <c r="D107" s="2">
        <v>42</v>
      </c>
      <c r="E107" s="2">
        <v>73</v>
      </c>
      <c r="F107" s="2">
        <v>2019</v>
      </c>
      <c r="G107" s="2" t="s">
        <v>12</v>
      </c>
      <c r="H107" s="4">
        <v>43472</v>
      </c>
      <c r="I107" s="4">
        <v>43556</v>
      </c>
      <c r="J107" s="2" t="s">
        <v>19</v>
      </c>
      <c r="K107" s="2">
        <v>84</v>
      </c>
    </row>
    <row r="108" spans="1:11" ht="16.5" x14ac:dyDescent="0.3">
      <c r="A108" s="2" t="s">
        <v>64</v>
      </c>
      <c r="B108" s="2">
        <v>8.7799999999999994</v>
      </c>
      <c r="C108" s="2">
        <v>13</v>
      </c>
      <c r="D108" s="2">
        <v>42</v>
      </c>
      <c r="E108" s="2">
        <v>73</v>
      </c>
      <c r="F108" s="2">
        <v>2019</v>
      </c>
      <c r="G108" s="2" t="s">
        <v>12</v>
      </c>
      <c r="H108" s="4">
        <v>43472</v>
      </c>
      <c r="I108" s="4">
        <v>43556</v>
      </c>
      <c r="J108" s="2" t="s">
        <v>29</v>
      </c>
      <c r="K108" s="2">
        <v>84</v>
      </c>
    </row>
    <row r="109" spans="1:11" ht="16.5" x14ac:dyDescent="0.3">
      <c r="A109" s="2" t="s">
        <v>64</v>
      </c>
      <c r="B109" s="2">
        <v>8.7799999999999994</v>
      </c>
      <c r="C109" s="2">
        <v>13</v>
      </c>
      <c r="D109" s="2">
        <v>42</v>
      </c>
      <c r="E109" s="2">
        <v>73</v>
      </c>
      <c r="F109" s="2">
        <v>2019</v>
      </c>
      <c r="G109" s="2" t="s">
        <v>12</v>
      </c>
      <c r="H109" s="4">
        <v>43472</v>
      </c>
      <c r="I109" s="4">
        <v>43556</v>
      </c>
      <c r="J109" s="2" t="s">
        <v>21</v>
      </c>
      <c r="K109" s="2">
        <v>84</v>
      </c>
    </row>
    <row r="110" spans="1:11" ht="16.5" x14ac:dyDescent="0.3">
      <c r="A110" s="2" t="s">
        <v>65</v>
      </c>
      <c r="B110" s="2">
        <v>8.7799999999999994</v>
      </c>
      <c r="C110" s="2">
        <v>1</v>
      </c>
      <c r="D110" s="2">
        <v>41</v>
      </c>
      <c r="E110" s="2">
        <v>499</v>
      </c>
      <c r="F110" s="2">
        <v>2017</v>
      </c>
      <c r="G110" s="2" t="s">
        <v>12</v>
      </c>
      <c r="H110" s="4">
        <v>42741</v>
      </c>
      <c r="I110" s="2"/>
      <c r="J110" s="2" t="s">
        <v>19</v>
      </c>
      <c r="K110" s="2"/>
    </row>
    <row r="111" spans="1:11" ht="16.5" x14ac:dyDescent="0.3">
      <c r="A111" s="2" t="s">
        <v>65</v>
      </c>
      <c r="B111" s="2">
        <v>8.7799999999999994</v>
      </c>
      <c r="C111" s="2">
        <v>1</v>
      </c>
      <c r="D111" s="2">
        <v>41</v>
      </c>
      <c r="E111" s="2">
        <v>499</v>
      </c>
      <c r="F111" s="2">
        <v>2017</v>
      </c>
      <c r="G111" s="2" t="s">
        <v>12</v>
      </c>
      <c r="H111" s="4">
        <v>42741</v>
      </c>
      <c r="I111" s="2"/>
      <c r="J111" s="2" t="s">
        <v>20</v>
      </c>
      <c r="K111" s="2"/>
    </row>
    <row r="112" spans="1:11" ht="16.5" x14ac:dyDescent="0.3">
      <c r="A112" s="2" t="s">
        <v>65</v>
      </c>
      <c r="B112" s="2">
        <v>8.7799999999999994</v>
      </c>
      <c r="C112" s="2">
        <v>1</v>
      </c>
      <c r="D112" s="2">
        <v>41</v>
      </c>
      <c r="E112" s="2">
        <v>499</v>
      </c>
      <c r="F112" s="2">
        <v>2017</v>
      </c>
      <c r="G112" s="2" t="s">
        <v>12</v>
      </c>
      <c r="H112" s="4">
        <v>42741</v>
      </c>
      <c r="I112" s="2"/>
      <c r="J112" s="2" t="s">
        <v>21</v>
      </c>
      <c r="K112" s="2"/>
    </row>
    <row r="113" spans="1:11" ht="16.5" x14ac:dyDescent="0.3">
      <c r="A113" s="2" t="s">
        <v>66</v>
      </c>
      <c r="B113" s="2">
        <v>8.7799999999999994</v>
      </c>
      <c r="C113" s="2">
        <v>24</v>
      </c>
      <c r="D113" s="2">
        <v>43</v>
      </c>
      <c r="E113" s="2">
        <v>62</v>
      </c>
      <c r="F113" s="2">
        <v>2019</v>
      </c>
      <c r="G113" s="2" t="s">
        <v>12</v>
      </c>
      <c r="H113" s="4">
        <v>43654</v>
      </c>
      <c r="I113" s="4">
        <v>43829</v>
      </c>
      <c r="J113" s="2" t="s">
        <v>19</v>
      </c>
      <c r="K113" s="2">
        <v>175</v>
      </c>
    </row>
    <row r="114" spans="1:11" ht="16.5" x14ac:dyDescent="0.3">
      <c r="A114" s="2" t="s">
        <v>66</v>
      </c>
      <c r="B114" s="2">
        <v>8.7799999999999994</v>
      </c>
      <c r="C114" s="2">
        <v>24</v>
      </c>
      <c r="D114" s="2">
        <v>43</v>
      </c>
      <c r="E114" s="2">
        <v>62</v>
      </c>
      <c r="F114" s="2">
        <v>2019</v>
      </c>
      <c r="G114" s="2" t="s">
        <v>12</v>
      </c>
      <c r="H114" s="4">
        <v>43654</v>
      </c>
      <c r="I114" s="4">
        <v>43829</v>
      </c>
      <c r="J114" s="2" t="s">
        <v>13</v>
      </c>
      <c r="K114" s="2">
        <v>175</v>
      </c>
    </row>
    <row r="115" spans="1:11" ht="16.5" x14ac:dyDescent="0.3">
      <c r="A115" s="2" t="s">
        <v>66</v>
      </c>
      <c r="B115" s="2">
        <v>8.7799999999999994</v>
      </c>
      <c r="C115" s="2">
        <v>24</v>
      </c>
      <c r="D115" s="2">
        <v>43</v>
      </c>
      <c r="E115" s="2">
        <v>62</v>
      </c>
      <c r="F115" s="2">
        <v>2019</v>
      </c>
      <c r="G115" s="2" t="s">
        <v>12</v>
      </c>
      <c r="H115" s="4">
        <v>43654</v>
      </c>
      <c r="I115" s="4">
        <v>43829</v>
      </c>
      <c r="J115" s="2" t="s">
        <v>15</v>
      </c>
      <c r="K115" s="2">
        <v>175</v>
      </c>
    </row>
    <row r="116" spans="1:11" ht="16.5" x14ac:dyDescent="0.3">
      <c r="A116" s="2" t="s">
        <v>67</v>
      </c>
      <c r="B116" s="2">
        <v>8.7799999999999994</v>
      </c>
      <c r="C116" s="2">
        <v>75</v>
      </c>
      <c r="D116" s="2">
        <v>40</v>
      </c>
      <c r="E116" s="2">
        <v>348</v>
      </c>
      <c r="F116" s="2">
        <v>2000</v>
      </c>
      <c r="G116" s="2" t="s">
        <v>12</v>
      </c>
      <c r="H116" s="4">
        <v>36803</v>
      </c>
      <c r="I116" s="4">
        <v>37342</v>
      </c>
      <c r="J116" s="2" t="s">
        <v>62</v>
      </c>
      <c r="K116" s="2">
        <v>539</v>
      </c>
    </row>
    <row r="117" spans="1:11" ht="16.5" x14ac:dyDescent="0.3">
      <c r="A117" s="2" t="s">
        <v>68</v>
      </c>
      <c r="B117" s="2">
        <v>8.77</v>
      </c>
      <c r="C117" s="2">
        <v>10</v>
      </c>
      <c r="D117" s="2">
        <v>44</v>
      </c>
      <c r="E117" s="2">
        <v>115</v>
      </c>
      <c r="F117" s="2">
        <v>2016</v>
      </c>
      <c r="G117" s="2" t="s">
        <v>12</v>
      </c>
      <c r="H117" s="4">
        <v>42651</v>
      </c>
      <c r="I117" s="4">
        <v>42714</v>
      </c>
      <c r="J117" s="2" t="s">
        <v>62</v>
      </c>
      <c r="K117" s="2">
        <v>63</v>
      </c>
    </row>
    <row r="118" spans="1:11" ht="16.5" x14ac:dyDescent="0.3">
      <c r="A118" s="2" t="s">
        <v>69</v>
      </c>
      <c r="B118" s="2">
        <v>8.77</v>
      </c>
      <c r="C118" s="2">
        <v>1</v>
      </c>
      <c r="D118" s="2">
        <v>45</v>
      </c>
      <c r="E118" s="2">
        <v>44</v>
      </c>
      <c r="F118" s="2">
        <v>2001</v>
      </c>
      <c r="G118" s="2" t="s">
        <v>12</v>
      </c>
      <c r="H118" s="4">
        <v>37092</v>
      </c>
      <c r="I118" s="2"/>
      <c r="J118" s="2" t="s">
        <v>13</v>
      </c>
      <c r="K118" s="2"/>
    </row>
    <row r="119" spans="1:11" ht="16.5" x14ac:dyDescent="0.3">
      <c r="A119" s="2" t="s">
        <v>69</v>
      </c>
      <c r="B119" s="2">
        <v>8.77</v>
      </c>
      <c r="C119" s="2">
        <v>1</v>
      </c>
      <c r="D119" s="2">
        <v>45</v>
      </c>
      <c r="E119" s="2">
        <v>44</v>
      </c>
      <c r="F119" s="2">
        <v>2001</v>
      </c>
      <c r="G119" s="2" t="s">
        <v>12</v>
      </c>
      <c r="H119" s="4">
        <v>37092</v>
      </c>
      <c r="I119" s="2"/>
      <c r="J119" s="2" t="s">
        <v>14</v>
      </c>
      <c r="K119" s="2"/>
    </row>
    <row r="120" spans="1:11" ht="16.5" x14ac:dyDescent="0.3">
      <c r="A120" s="2" t="s">
        <v>69</v>
      </c>
      <c r="B120" s="2">
        <v>8.77</v>
      </c>
      <c r="C120" s="2">
        <v>1</v>
      </c>
      <c r="D120" s="2">
        <v>45</v>
      </c>
      <c r="E120" s="2">
        <v>44</v>
      </c>
      <c r="F120" s="2">
        <v>2001</v>
      </c>
      <c r="G120" s="2" t="s">
        <v>12</v>
      </c>
      <c r="H120" s="4">
        <v>37092</v>
      </c>
      <c r="I120" s="2"/>
      <c r="J120" s="2" t="s">
        <v>16</v>
      </c>
      <c r="K120" s="2"/>
    </row>
    <row r="121" spans="1:11" ht="16.5" x14ac:dyDescent="0.3">
      <c r="A121" s="2" t="s">
        <v>70</v>
      </c>
      <c r="B121" s="2">
        <v>8.77</v>
      </c>
      <c r="C121" s="2">
        <v>12</v>
      </c>
      <c r="D121" s="2">
        <v>46</v>
      </c>
      <c r="E121" s="2">
        <v>91</v>
      </c>
      <c r="F121" s="2">
        <v>2022</v>
      </c>
      <c r="G121" s="2" t="s">
        <v>12</v>
      </c>
      <c r="H121" s="4">
        <v>44571</v>
      </c>
      <c r="I121" s="4">
        <v>44655</v>
      </c>
      <c r="J121" s="2" t="s">
        <v>19</v>
      </c>
      <c r="K121" s="2">
        <v>84</v>
      </c>
    </row>
    <row r="122" spans="1:11" ht="16.5" x14ac:dyDescent="0.3">
      <c r="A122" s="2" t="s">
        <v>70</v>
      </c>
      <c r="B122" s="2">
        <v>8.77</v>
      </c>
      <c r="C122" s="2">
        <v>12</v>
      </c>
      <c r="D122" s="2">
        <v>46</v>
      </c>
      <c r="E122" s="2">
        <v>91</v>
      </c>
      <c r="F122" s="2">
        <v>2022</v>
      </c>
      <c r="G122" s="2" t="s">
        <v>12</v>
      </c>
      <c r="H122" s="4">
        <v>44571</v>
      </c>
      <c r="I122" s="4">
        <v>44655</v>
      </c>
      <c r="J122" s="2" t="s">
        <v>15</v>
      </c>
      <c r="K122" s="2">
        <v>84</v>
      </c>
    </row>
    <row r="123" spans="1:11" ht="16.5" x14ac:dyDescent="0.3">
      <c r="A123" s="2" t="s">
        <v>70</v>
      </c>
      <c r="B123" s="2">
        <v>8.77</v>
      </c>
      <c r="C123" s="2">
        <v>12</v>
      </c>
      <c r="D123" s="2">
        <v>46</v>
      </c>
      <c r="E123" s="2">
        <v>91</v>
      </c>
      <c r="F123" s="2">
        <v>2022</v>
      </c>
      <c r="G123" s="2" t="s">
        <v>12</v>
      </c>
      <c r="H123" s="4">
        <v>44571</v>
      </c>
      <c r="I123" s="4">
        <v>44655</v>
      </c>
      <c r="J123" s="2" t="s">
        <v>26</v>
      </c>
      <c r="K123" s="2">
        <v>84</v>
      </c>
    </row>
    <row r="124" spans="1:11" ht="16.5" x14ac:dyDescent="0.3">
      <c r="A124" s="2" t="s">
        <v>71</v>
      </c>
      <c r="B124" s="2">
        <v>8.76</v>
      </c>
      <c r="C124" s="2">
        <v>6</v>
      </c>
      <c r="D124" s="2">
        <v>48</v>
      </c>
      <c r="E124" s="2">
        <v>918</v>
      </c>
      <c r="F124" s="2">
        <v>2025</v>
      </c>
      <c r="G124" s="2" t="s">
        <v>12</v>
      </c>
      <c r="H124" s="4">
        <v>45836</v>
      </c>
      <c r="I124" s="4">
        <v>45871</v>
      </c>
      <c r="J124" s="2" t="s">
        <v>15</v>
      </c>
      <c r="K124" s="2">
        <v>35</v>
      </c>
    </row>
    <row r="125" spans="1:11" ht="16.5" x14ac:dyDescent="0.3">
      <c r="A125" s="2" t="s">
        <v>71</v>
      </c>
      <c r="B125" s="2">
        <v>8.76</v>
      </c>
      <c r="C125" s="2">
        <v>6</v>
      </c>
      <c r="D125" s="2">
        <v>48</v>
      </c>
      <c r="E125" s="2">
        <v>918</v>
      </c>
      <c r="F125" s="2">
        <v>2025</v>
      </c>
      <c r="G125" s="2" t="s">
        <v>12</v>
      </c>
      <c r="H125" s="4">
        <v>45836</v>
      </c>
      <c r="I125" s="4">
        <v>45871</v>
      </c>
      <c r="J125" s="2" t="s">
        <v>25</v>
      </c>
      <c r="K125" s="2">
        <v>35</v>
      </c>
    </row>
    <row r="126" spans="1:11" ht="16.5" x14ac:dyDescent="0.3">
      <c r="A126" s="2" t="s">
        <v>72</v>
      </c>
      <c r="B126" s="2">
        <v>8.76</v>
      </c>
      <c r="C126" s="2">
        <v>26</v>
      </c>
      <c r="D126" s="2">
        <v>47</v>
      </c>
      <c r="E126" s="2">
        <v>328</v>
      </c>
      <c r="F126" s="2">
        <v>2013</v>
      </c>
      <c r="G126" s="2" t="s">
        <v>12</v>
      </c>
      <c r="H126" s="4">
        <v>41462</v>
      </c>
      <c r="I126" s="4">
        <v>41637</v>
      </c>
      <c r="J126" s="2" t="s">
        <v>29</v>
      </c>
      <c r="K126" s="2">
        <v>175</v>
      </c>
    </row>
    <row r="127" spans="1:11" ht="16.5" x14ac:dyDescent="0.3">
      <c r="A127" s="2" t="s">
        <v>72</v>
      </c>
      <c r="B127" s="2">
        <v>8.76</v>
      </c>
      <c r="C127" s="2">
        <v>26</v>
      </c>
      <c r="D127" s="2">
        <v>47</v>
      </c>
      <c r="E127" s="2">
        <v>328</v>
      </c>
      <c r="F127" s="2">
        <v>2013</v>
      </c>
      <c r="G127" s="2" t="s">
        <v>12</v>
      </c>
      <c r="H127" s="4">
        <v>41462</v>
      </c>
      <c r="I127" s="4">
        <v>41637</v>
      </c>
      <c r="J127" s="2" t="s">
        <v>20</v>
      </c>
      <c r="K127" s="2">
        <v>175</v>
      </c>
    </row>
    <row r="128" spans="1:11" ht="16.5" x14ac:dyDescent="0.3">
      <c r="A128" s="2" t="s">
        <v>72</v>
      </c>
      <c r="B128" s="2">
        <v>8.76</v>
      </c>
      <c r="C128" s="2">
        <v>26</v>
      </c>
      <c r="D128" s="2">
        <v>47</v>
      </c>
      <c r="E128" s="2">
        <v>328</v>
      </c>
      <c r="F128" s="2">
        <v>2013</v>
      </c>
      <c r="G128" s="2" t="s">
        <v>12</v>
      </c>
      <c r="H128" s="4">
        <v>41462</v>
      </c>
      <c r="I128" s="4">
        <v>41637</v>
      </c>
      <c r="J128" s="2" t="s">
        <v>40</v>
      </c>
      <c r="K128" s="2">
        <v>175</v>
      </c>
    </row>
    <row r="129" spans="1:11" ht="16.5" x14ac:dyDescent="0.3">
      <c r="A129" s="2" t="s">
        <v>72</v>
      </c>
      <c r="B129" s="2">
        <v>8.76</v>
      </c>
      <c r="C129" s="2">
        <v>26</v>
      </c>
      <c r="D129" s="2">
        <v>47</v>
      </c>
      <c r="E129" s="2">
        <v>328</v>
      </c>
      <c r="F129" s="2">
        <v>2013</v>
      </c>
      <c r="G129" s="2" t="s">
        <v>12</v>
      </c>
      <c r="H129" s="4">
        <v>41462</v>
      </c>
      <c r="I129" s="4">
        <v>41637</v>
      </c>
      <c r="J129" s="2" t="s">
        <v>21</v>
      </c>
      <c r="K129" s="2">
        <v>175</v>
      </c>
    </row>
    <row r="130" spans="1:11" ht="16.5" x14ac:dyDescent="0.3">
      <c r="A130" s="2" t="s">
        <v>73</v>
      </c>
      <c r="B130" s="2">
        <v>8.75</v>
      </c>
      <c r="C130" s="2">
        <v>26</v>
      </c>
      <c r="D130" s="2">
        <v>49</v>
      </c>
      <c r="E130" s="2">
        <v>42</v>
      </c>
      <c r="F130" s="2">
        <v>1998</v>
      </c>
      <c r="G130" s="2" t="s">
        <v>12</v>
      </c>
      <c r="H130" s="4">
        <v>35888</v>
      </c>
      <c r="I130" s="4">
        <v>36274</v>
      </c>
      <c r="J130" s="2" t="s">
        <v>19</v>
      </c>
      <c r="K130" s="2">
        <v>386</v>
      </c>
    </row>
    <row r="131" spans="1:11" ht="16.5" x14ac:dyDescent="0.3">
      <c r="A131" s="2" t="s">
        <v>73</v>
      </c>
      <c r="B131" s="2">
        <v>8.75</v>
      </c>
      <c r="C131" s="2">
        <v>26</v>
      </c>
      <c r="D131" s="2">
        <v>49</v>
      </c>
      <c r="E131" s="2">
        <v>42</v>
      </c>
      <c r="F131" s="2">
        <v>1998</v>
      </c>
      <c r="G131" s="2" t="s">
        <v>12</v>
      </c>
      <c r="H131" s="4">
        <v>35888</v>
      </c>
      <c r="I131" s="4">
        <v>36274</v>
      </c>
      <c r="J131" s="2" t="s">
        <v>14</v>
      </c>
      <c r="K131" s="2">
        <v>386</v>
      </c>
    </row>
    <row r="132" spans="1:11" ht="16.5" x14ac:dyDescent="0.3">
      <c r="A132" s="2" t="s">
        <v>73</v>
      </c>
      <c r="B132" s="2">
        <v>8.75</v>
      </c>
      <c r="C132" s="2">
        <v>26</v>
      </c>
      <c r="D132" s="2">
        <v>49</v>
      </c>
      <c r="E132" s="2">
        <v>42</v>
      </c>
      <c r="F132" s="2">
        <v>1998</v>
      </c>
      <c r="G132" s="2" t="s">
        <v>12</v>
      </c>
      <c r="H132" s="4">
        <v>35888</v>
      </c>
      <c r="I132" s="4">
        <v>36274</v>
      </c>
      <c r="J132" s="2" t="s">
        <v>25</v>
      </c>
      <c r="K132" s="2">
        <v>386</v>
      </c>
    </row>
    <row r="133" spans="1:11" ht="16.5" x14ac:dyDescent="0.3">
      <c r="A133" s="2" t="s">
        <v>74</v>
      </c>
      <c r="B133" s="2">
        <v>8.74</v>
      </c>
      <c r="C133" s="2">
        <v>11</v>
      </c>
      <c r="D133" s="2">
        <v>50</v>
      </c>
      <c r="E133" s="2">
        <v>1172</v>
      </c>
      <c r="F133" s="2">
        <v>2026</v>
      </c>
      <c r="G133" s="2" t="s">
        <v>12</v>
      </c>
      <c r="H133" s="4">
        <v>46036</v>
      </c>
      <c r="I133" s="4">
        <v>46106</v>
      </c>
      <c r="J133" s="2" t="s">
        <v>15</v>
      </c>
      <c r="K133" s="2">
        <v>70</v>
      </c>
    </row>
    <row r="134" spans="1:11" ht="16.5" x14ac:dyDescent="0.3">
      <c r="A134" s="2" t="s">
        <v>75</v>
      </c>
      <c r="B134" s="2">
        <v>8.73</v>
      </c>
      <c r="C134" s="2">
        <v>13</v>
      </c>
      <c r="D134" s="2">
        <v>53</v>
      </c>
      <c r="E134" s="2">
        <v>3174</v>
      </c>
      <c r="F134" s="2">
        <v>2024</v>
      </c>
      <c r="G134" s="2" t="s">
        <v>12</v>
      </c>
      <c r="H134" s="4">
        <v>45305</v>
      </c>
      <c r="I134" s="4">
        <v>45382</v>
      </c>
      <c r="J134" s="2" t="s">
        <v>19</v>
      </c>
      <c r="K134" s="2">
        <v>77</v>
      </c>
    </row>
    <row r="135" spans="1:11" ht="16.5" x14ac:dyDescent="0.3">
      <c r="A135" s="2" t="s">
        <v>76</v>
      </c>
      <c r="B135" s="2">
        <v>8.73</v>
      </c>
      <c r="C135" s="2">
        <v>13</v>
      </c>
      <c r="D135" s="2">
        <v>52</v>
      </c>
      <c r="E135" s="2">
        <v>2423</v>
      </c>
      <c r="F135" s="2">
        <v>2024</v>
      </c>
      <c r="G135" s="2" t="s">
        <v>12</v>
      </c>
      <c r="H135" s="4">
        <v>45389</v>
      </c>
      <c r="I135" s="4">
        <v>45473</v>
      </c>
      <c r="J135" s="2" t="s">
        <v>15</v>
      </c>
      <c r="K135" s="2">
        <v>84</v>
      </c>
    </row>
    <row r="136" spans="1:11" ht="16.5" x14ac:dyDescent="0.3">
      <c r="A136" s="2" t="s">
        <v>77</v>
      </c>
      <c r="B136" s="2">
        <v>8.73</v>
      </c>
      <c r="C136" s="2">
        <v>12</v>
      </c>
      <c r="D136" s="2">
        <v>51</v>
      </c>
      <c r="E136" s="2">
        <v>292</v>
      </c>
      <c r="F136" s="2">
        <v>2022</v>
      </c>
      <c r="G136" s="2" t="s">
        <v>12</v>
      </c>
      <c r="H136" s="4">
        <v>44843</v>
      </c>
      <c r="I136" s="4">
        <v>44920</v>
      </c>
      <c r="J136" s="2" t="s">
        <v>29</v>
      </c>
      <c r="K136" s="2">
        <v>77</v>
      </c>
    </row>
    <row r="137" spans="1:11" ht="16.5" x14ac:dyDescent="0.3">
      <c r="A137" s="2" t="s">
        <v>78</v>
      </c>
      <c r="B137" s="2">
        <v>8.73</v>
      </c>
      <c r="C137" s="2">
        <v>26</v>
      </c>
      <c r="D137" s="2">
        <v>53</v>
      </c>
      <c r="E137" s="2">
        <v>2549</v>
      </c>
      <c r="F137" s="2">
        <v>2022</v>
      </c>
      <c r="G137" s="2" t="s">
        <v>12</v>
      </c>
      <c r="H137" s="4">
        <v>44661</v>
      </c>
      <c r="I137" s="4">
        <v>44836</v>
      </c>
      <c r="J137" s="2" t="s">
        <v>19</v>
      </c>
      <c r="K137" s="2">
        <v>175</v>
      </c>
    </row>
    <row r="138" spans="1:11" ht="16.5" x14ac:dyDescent="0.3">
      <c r="A138" s="2" t="s">
        <v>79</v>
      </c>
      <c r="B138" s="2">
        <v>8.73</v>
      </c>
      <c r="C138" s="2"/>
      <c r="D138" s="2">
        <v>55</v>
      </c>
      <c r="E138" s="2">
        <v>17</v>
      </c>
      <c r="F138" s="2">
        <v>1999</v>
      </c>
      <c r="G138" s="2" t="s">
        <v>18</v>
      </c>
      <c r="H138" s="4">
        <v>36453</v>
      </c>
      <c r="I138" s="2"/>
      <c r="J138" s="2" t="s">
        <v>19</v>
      </c>
      <c r="K138" s="2"/>
    </row>
    <row r="139" spans="1:11" ht="16.5" x14ac:dyDescent="0.3">
      <c r="A139" s="2" t="s">
        <v>79</v>
      </c>
      <c r="B139" s="2">
        <v>8.73</v>
      </c>
      <c r="C139" s="2"/>
      <c r="D139" s="2">
        <v>55</v>
      </c>
      <c r="E139" s="2">
        <v>17</v>
      </c>
      <c r="F139" s="2">
        <v>1999</v>
      </c>
      <c r="G139" s="2" t="s">
        <v>18</v>
      </c>
      <c r="H139" s="4">
        <v>36453</v>
      </c>
      <c r="I139" s="2"/>
      <c r="J139" s="2" t="s">
        <v>13</v>
      </c>
      <c r="K139" s="2"/>
    </row>
    <row r="140" spans="1:11" ht="16.5" x14ac:dyDescent="0.3">
      <c r="A140" s="2" t="s">
        <v>79</v>
      </c>
      <c r="B140" s="2">
        <v>8.73</v>
      </c>
      <c r="C140" s="2"/>
      <c r="D140" s="2">
        <v>55</v>
      </c>
      <c r="E140" s="2">
        <v>17</v>
      </c>
      <c r="F140" s="2">
        <v>1999</v>
      </c>
      <c r="G140" s="2" t="s">
        <v>18</v>
      </c>
      <c r="H140" s="4">
        <v>36453</v>
      </c>
      <c r="I140" s="2"/>
      <c r="J140" s="2" t="s">
        <v>16</v>
      </c>
      <c r="K140" s="2"/>
    </row>
    <row r="141" spans="1:11" ht="16.5" x14ac:dyDescent="0.3">
      <c r="A141" s="2" t="s">
        <v>80</v>
      </c>
      <c r="B141" s="2">
        <v>8.7200000000000006</v>
      </c>
      <c r="C141" s="2">
        <v>11</v>
      </c>
      <c r="D141" s="2">
        <v>57</v>
      </c>
      <c r="E141" s="2">
        <v>950</v>
      </c>
      <c r="F141" s="2">
        <v>2025</v>
      </c>
      <c r="G141" s="2" t="s">
        <v>12</v>
      </c>
      <c r="H141" s="4">
        <v>45934</v>
      </c>
      <c r="I141" s="4">
        <v>46004</v>
      </c>
      <c r="J141" s="2" t="s">
        <v>19</v>
      </c>
      <c r="K141" s="2">
        <v>70</v>
      </c>
    </row>
    <row r="142" spans="1:11" ht="16.5" x14ac:dyDescent="0.3">
      <c r="A142" s="2" t="s">
        <v>81</v>
      </c>
      <c r="B142" s="2">
        <v>8.7200000000000006</v>
      </c>
      <c r="C142" s="2">
        <v>25</v>
      </c>
      <c r="D142" s="2">
        <v>58</v>
      </c>
      <c r="E142" s="2">
        <v>980</v>
      </c>
      <c r="F142" s="2">
        <v>2024</v>
      </c>
      <c r="G142" s="2" t="s">
        <v>12</v>
      </c>
      <c r="H142" s="4">
        <v>45570</v>
      </c>
      <c r="I142" s="4">
        <v>45731</v>
      </c>
      <c r="J142" s="2" t="s">
        <v>15</v>
      </c>
      <c r="K142" s="2">
        <v>161</v>
      </c>
    </row>
    <row r="143" spans="1:11" ht="16.5" x14ac:dyDescent="0.3">
      <c r="A143" s="2" t="s">
        <v>82</v>
      </c>
      <c r="B143" s="2">
        <v>8.7200000000000006</v>
      </c>
      <c r="C143" s="2">
        <v>1</v>
      </c>
      <c r="D143" s="2">
        <v>59</v>
      </c>
      <c r="E143" s="2">
        <v>725</v>
      </c>
      <c r="F143" s="2">
        <v>2022</v>
      </c>
      <c r="G143" s="2" t="s">
        <v>12</v>
      </c>
      <c r="H143" s="4">
        <v>44912</v>
      </c>
      <c r="I143" s="2"/>
      <c r="J143" s="2" t="s">
        <v>29</v>
      </c>
      <c r="K143" s="2"/>
    </row>
    <row r="144" spans="1:11" ht="16.5" x14ac:dyDescent="0.3">
      <c r="A144" s="2" t="s">
        <v>82</v>
      </c>
      <c r="B144" s="2">
        <v>8.7200000000000006</v>
      </c>
      <c r="C144" s="2">
        <v>1</v>
      </c>
      <c r="D144" s="2">
        <v>59</v>
      </c>
      <c r="E144" s="2">
        <v>725</v>
      </c>
      <c r="F144" s="2">
        <v>2022</v>
      </c>
      <c r="G144" s="2" t="s">
        <v>12</v>
      </c>
      <c r="H144" s="4">
        <v>44912</v>
      </c>
      <c r="I144" s="2"/>
      <c r="J144" s="2" t="s">
        <v>15</v>
      </c>
      <c r="K144" s="2"/>
    </row>
    <row r="145" spans="1:11" ht="16.5" x14ac:dyDescent="0.3">
      <c r="A145" s="2" t="s">
        <v>82</v>
      </c>
      <c r="B145" s="2">
        <v>8.7200000000000006</v>
      </c>
      <c r="C145" s="2">
        <v>1</v>
      </c>
      <c r="D145" s="2">
        <v>59</v>
      </c>
      <c r="E145" s="2">
        <v>725</v>
      </c>
      <c r="F145" s="2">
        <v>2022</v>
      </c>
      <c r="G145" s="2" t="s">
        <v>12</v>
      </c>
      <c r="H145" s="4">
        <v>44912</v>
      </c>
      <c r="I145" s="2"/>
      <c r="J145" s="2" t="s">
        <v>40</v>
      </c>
      <c r="K145" s="2"/>
    </row>
    <row r="146" spans="1:11" ht="16.5" x14ac:dyDescent="0.3">
      <c r="A146" s="2" t="s">
        <v>83</v>
      </c>
      <c r="B146" s="2">
        <v>8.7200000000000006</v>
      </c>
      <c r="C146" s="2">
        <v>10</v>
      </c>
      <c r="D146" s="2">
        <v>61</v>
      </c>
      <c r="E146" s="2">
        <v>950</v>
      </c>
      <c r="F146" s="2">
        <v>2014</v>
      </c>
      <c r="G146" s="2" t="s">
        <v>12</v>
      </c>
      <c r="H146" s="4">
        <v>41931</v>
      </c>
      <c r="I146" s="4">
        <v>41994</v>
      </c>
      <c r="J146" s="2" t="s">
        <v>13</v>
      </c>
      <c r="K146" s="2">
        <v>63</v>
      </c>
    </row>
    <row r="147" spans="1:11" ht="16.5" x14ac:dyDescent="0.3">
      <c r="A147" s="2" t="s">
        <v>83</v>
      </c>
      <c r="B147" s="2">
        <v>8.7200000000000006</v>
      </c>
      <c r="C147" s="2">
        <v>10</v>
      </c>
      <c r="D147" s="2">
        <v>61</v>
      </c>
      <c r="E147" s="2">
        <v>950</v>
      </c>
      <c r="F147" s="2">
        <v>2014</v>
      </c>
      <c r="G147" s="2" t="s">
        <v>12</v>
      </c>
      <c r="H147" s="4">
        <v>41931</v>
      </c>
      <c r="I147" s="4">
        <v>41994</v>
      </c>
      <c r="J147" s="2" t="s">
        <v>20</v>
      </c>
      <c r="K147" s="2">
        <v>63</v>
      </c>
    </row>
    <row r="148" spans="1:11" ht="16.5" x14ac:dyDescent="0.3">
      <c r="A148" s="2" t="s">
        <v>83</v>
      </c>
      <c r="B148" s="2">
        <v>8.7200000000000006</v>
      </c>
      <c r="C148" s="2">
        <v>10</v>
      </c>
      <c r="D148" s="2">
        <v>61</v>
      </c>
      <c r="E148" s="2">
        <v>950</v>
      </c>
      <c r="F148" s="2">
        <v>2014</v>
      </c>
      <c r="G148" s="2" t="s">
        <v>12</v>
      </c>
      <c r="H148" s="4">
        <v>41931</v>
      </c>
      <c r="I148" s="4">
        <v>41994</v>
      </c>
      <c r="J148" s="2" t="s">
        <v>84</v>
      </c>
      <c r="K148" s="2">
        <v>63</v>
      </c>
    </row>
    <row r="149" spans="1:11" ht="16.5" x14ac:dyDescent="0.3">
      <c r="A149" s="2" t="s">
        <v>83</v>
      </c>
      <c r="B149" s="2">
        <v>8.7200000000000006</v>
      </c>
      <c r="C149" s="2">
        <v>10</v>
      </c>
      <c r="D149" s="2">
        <v>61</v>
      </c>
      <c r="E149" s="2">
        <v>950</v>
      </c>
      <c r="F149" s="2">
        <v>2014</v>
      </c>
      <c r="G149" s="2" t="s">
        <v>12</v>
      </c>
      <c r="H149" s="4">
        <v>41931</v>
      </c>
      <c r="I149" s="4">
        <v>41994</v>
      </c>
      <c r="J149" s="2" t="s">
        <v>21</v>
      </c>
      <c r="K149" s="2">
        <v>63</v>
      </c>
    </row>
    <row r="150" spans="1:11" ht="16.5" x14ac:dyDescent="0.3">
      <c r="A150" s="2" t="s">
        <v>85</v>
      </c>
      <c r="B150" s="2">
        <v>8.7200000000000006</v>
      </c>
      <c r="C150" s="2">
        <v>12</v>
      </c>
      <c r="D150" s="2">
        <v>60</v>
      </c>
      <c r="E150" s="2">
        <v>253</v>
      </c>
      <c r="F150" s="2">
        <v>2022</v>
      </c>
      <c r="G150" s="2" t="s">
        <v>12</v>
      </c>
      <c r="H150" s="4">
        <v>44840</v>
      </c>
      <c r="I150" s="4">
        <v>44917</v>
      </c>
      <c r="J150" s="2" t="s">
        <v>19</v>
      </c>
      <c r="K150" s="2">
        <v>77</v>
      </c>
    </row>
    <row r="151" spans="1:11" ht="16.5" x14ac:dyDescent="0.3">
      <c r="A151" s="2" t="s">
        <v>85</v>
      </c>
      <c r="B151" s="2">
        <v>8.7200000000000006</v>
      </c>
      <c r="C151" s="2">
        <v>12</v>
      </c>
      <c r="D151" s="2">
        <v>60</v>
      </c>
      <c r="E151" s="2">
        <v>253</v>
      </c>
      <c r="F151" s="2">
        <v>2022</v>
      </c>
      <c r="G151" s="2" t="s">
        <v>12</v>
      </c>
      <c r="H151" s="4">
        <v>44840</v>
      </c>
      <c r="I151" s="4">
        <v>44917</v>
      </c>
      <c r="J151" s="2" t="s">
        <v>29</v>
      </c>
      <c r="K151" s="2">
        <v>77</v>
      </c>
    </row>
    <row r="152" spans="1:11" ht="16.5" x14ac:dyDescent="0.3">
      <c r="A152" s="2" t="s">
        <v>85</v>
      </c>
      <c r="B152" s="2">
        <v>8.7200000000000006</v>
      </c>
      <c r="C152" s="2">
        <v>12</v>
      </c>
      <c r="D152" s="2">
        <v>60</v>
      </c>
      <c r="E152" s="2">
        <v>253</v>
      </c>
      <c r="F152" s="2">
        <v>2022</v>
      </c>
      <c r="G152" s="2" t="s">
        <v>12</v>
      </c>
      <c r="H152" s="4">
        <v>44840</v>
      </c>
      <c r="I152" s="4">
        <v>44917</v>
      </c>
      <c r="J152" s="2" t="s">
        <v>21</v>
      </c>
      <c r="K152" s="2">
        <v>77</v>
      </c>
    </row>
    <row r="153" spans="1:11" ht="16.5" x14ac:dyDescent="0.3">
      <c r="A153" s="2" t="s">
        <v>86</v>
      </c>
      <c r="B153" s="2">
        <v>8.7200000000000006</v>
      </c>
      <c r="C153" s="2">
        <v>12</v>
      </c>
      <c r="D153" s="2">
        <v>56</v>
      </c>
      <c r="E153" s="2">
        <v>386</v>
      </c>
      <c r="F153" s="2">
        <v>2021</v>
      </c>
      <c r="G153" s="2" t="s">
        <v>12</v>
      </c>
      <c r="H153" s="4">
        <v>44472</v>
      </c>
      <c r="I153" s="4">
        <v>44639</v>
      </c>
      <c r="J153" s="2" t="s">
        <v>15</v>
      </c>
      <c r="K153" s="2">
        <v>167</v>
      </c>
    </row>
    <row r="154" spans="1:11" ht="16.5" x14ac:dyDescent="0.3">
      <c r="A154" s="2" t="s">
        <v>86</v>
      </c>
      <c r="B154" s="2">
        <v>8.7200000000000006</v>
      </c>
      <c r="C154" s="2">
        <v>12</v>
      </c>
      <c r="D154" s="2">
        <v>56</v>
      </c>
      <c r="E154" s="2">
        <v>386</v>
      </c>
      <c r="F154" s="2">
        <v>2021</v>
      </c>
      <c r="G154" s="2" t="s">
        <v>12</v>
      </c>
      <c r="H154" s="4">
        <v>44472</v>
      </c>
      <c r="I154" s="4">
        <v>44639</v>
      </c>
      <c r="J154" s="2" t="s">
        <v>25</v>
      </c>
      <c r="K154" s="2">
        <v>167</v>
      </c>
    </row>
    <row r="155" spans="1:11" ht="16.5" x14ac:dyDescent="0.3">
      <c r="A155" s="2" t="s">
        <v>87</v>
      </c>
      <c r="B155" s="2">
        <v>8.7100000000000009</v>
      </c>
      <c r="C155" s="2">
        <v>25</v>
      </c>
      <c r="D155" s="2">
        <v>62</v>
      </c>
      <c r="E155" s="2">
        <v>22</v>
      </c>
      <c r="F155" s="2">
        <v>2006</v>
      </c>
      <c r="G155" s="2" t="s">
        <v>12</v>
      </c>
      <c r="H155" s="4">
        <v>38996</v>
      </c>
      <c r="I155" s="4">
        <v>39292</v>
      </c>
      <c r="J155" s="2" t="s">
        <v>14</v>
      </c>
      <c r="K155" s="2">
        <v>296</v>
      </c>
    </row>
    <row r="156" spans="1:11" ht="16.5" x14ac:dyDescent="0.3">
      <c r="A156" s="2" t="s">
        <v>87</v>
      </c>
      <c r="B156" s="2">
        <v>8.7100000000000009</v>
      </c>
      <c r="C156" s="2">
        <v>25</v>
      </c>
      <c r="D156" s="2">
        <v>62</v>
      </c>
      <c r="E156" s="2">
        <v>22</v>
      </c>
      <c r="F156" s="2">
        <v>2006</v>
      </c>
      <c r="G156" s="2" t="s">
        <v>12</v>
      </c>
      <c r="H156" s="4">
        <v>38996</v>
      </c>
      <c r="I156" s="4">
        <v>39292</v>
      </c>
      <c r="J156" s="2" t="s">
        <v>15</v>
      </c>
      <c r="K156" s="2">
        <v>296</v>
      </c>
    </row>
    <row r="157" spans="1:11" ht="16.5" x14ac:dyDescent="0.3">
      <c r="A157" s="2" t="s">
        <v>87</v>
      </c>
      <c r="B157" s="2">
        <v>8.7100000000000009</v>
      </c>
      <c r="C157" s="2">
        <v>25</v>
      </c>
      <c r="D157" s="2">
        <v>62</v>
      </c>
      <c r="E157" s="2">
        <v>22</v>
      </c>
      <c r="F157" s="2">
        <v>2006</v>
      </c>
      <c r="G157" s="2" t="s">
        <v>12</v>
      </c>
      <c r="H157" s="4">
        <v>38996</v>
      </c>
      <c r="I157" s="4">
        <v>39292</v>
      </c>
      <c r="J157" s="2" t="s">
        <v>25</v>
      </c>
      <c r="K157" s="2">
        <v>296</v>
      </c>
    </row>
    <row r="158" spans="1:11" ht="16.5" x14ac:dyDescent="0.3">
      <c r="A158" s="2" t="s">
        <v>88</v>
      </c>
      <c r="B158" s="2">
        <v>8.7100000000000009</v>
      </c>
      <c r="C158" s="2">
        <v>1</v>
      </c>
      <c r="D158" s="2">
        <v>64</v>
      </c>
      <c r="E158" s="2">
        <v>2815</v>
      </c>
      <c r="F158" s="2">
        <v>2022</v>
      </c>
      <c r="G158" s="2" t="s">
        <v>12</v>
      </c>
      <c r="H158" s="4">
        <v>44898</v>
      </c>
      <c r="I158" s="2"/>
      <c r="J158" s="2" t="s">
        <v>14</v>
      </c>
      <c r="K158" s="2"/>
    </row>
    <row r="159" spans="1:11" ht="16.5" x14ac:dyDescent="0.3">
      <c r="A159" s="2" t="s">
        <v>88</v>
      </c>
      <c r="B159" s="2">
        <v>8.7100000000000009</v>
      </c>
      <c r="C159" s="2">
        <v>1</v>
      </c>
      <c r="D159" s="2">
        <v>64</v>
      </c>
      <c r="E159" s="2">
        <v>2815</v>
      </c>
      <c r="F159" s="2">
        <v>2022</v>
      </c>
      <c r="G159" s="2" t="s">
        <v>12</v>
      </c>
      <c r="H159" s="4">
        <v>44898</v>
      </c>
      <c r="I159" s="2"/>
      <c r="J159" s="2" t="s">
        <v>62</v>
      </c>
      <c r="K159" s="2"/>
    </row>
    <row r="160" spans="1:11" ht="16.5" x14ac:dyDescent="0.3">
      <c r="A160" s="2" t="s">
        <v>89</v>
      </c>
      <c r="B160" s="2">
        <v>8.7100000000000009</v>
      </c>
      <c r="C160" s="2">
        <v>23</v>
      </c>
      <c r="D160" s="2">
        <v>63</v>
      </c>
      <c r="E160" s="2">
        <v>108</v>
      </c>
      <c r="F160" s="2">
        <v>2023</v>
      </c>
      <c r="G160" s="2" t="s">
        <v>12</v>
      </c>
      <c r="H160" s="4">
        <v>45113</v>
      </c>
      <c r="I160" s="4">
        <v>45288</v>
      </c>
      <c r="J160" s="2" t="s">
        <v>19</v>
      </c>
      <c r="K160" s="2">
        <v>175</v>
      </c>
    </row>
    <row r="161" spans="1:11" ht="16.5" x14ac:dyDescent="0.3">
      <c r="A161" s="2" t="s">
        <v>89</v>
      </c>
      <c r="B161" s="2">
        <v>8.7100000000000009</v>
      </c>
      <c r="C161" s="2">
        <v>23</v>
      </c>
      <c r="D161" s="2">
        <v>63</v>
      </c>
      <c r="E161" s="2">
        <v>108</v>
      </c>
      <c r="F161" s="2">
        <v>2023</v>
      </c>
      <c r="G161" s="2" t="s">
        <v>12</v>
      </c>
      <c r="H161" s="4">
        <v>45113</v>
      </c>
      <c r="I161" s="4">
        <v>45288</v>
      </c>
      <c r="J161" s="2" t="s">
        <v>21</v>
      </c>
      <c r="K161" s="2">
        <v>175</v>
      </c>
    </row>
    <row r="162" spans="1:11" ht="16.5" x14ac:dyDescent="0.3">
      <c r="A162" s="2" t="s">
        <v>90</v>
      </c>
      <c r="B162" s="2">
        <v>8.6999999999999993</v>
      </c>
      <c r="C162" s="2">
        <v>13</v>
      </c>
      <c r="D162" s="2">
        <v>66</v>
      </c>
      <c r="E162" s="2">
        <v>914</v>
      </c>
      <c r="F162" s="2">
        <v>2024</v>
      </c>
      <c r="G162" s="2" t="s">
        <v>12</v>
      </c>
      <c r="H162" s="4">
        <v>45298</v>
      </c>
      <c r="I162" s="4">
        <v>45382</v>
      </c>
      <c r="J162" s="2" t="s">
        <v>29</v>
      </c>
      <c r="K162" s="2">
        <v>84</v>
      </c>
    </row>
    <row r="163" spans="1:11" ht="16.5" x14ac:dyDescent="0.3">
      <c r="A163" s="2" t="s">
        <v>90</v>
      </c>
      <c r="B163" s="2">
        <v>8.6999999999999993</v>
      </c>
      <c r="C163" s="2">
        <v>13</v>
      </c>
      <c r="D163" s="2">
        <v>66</v>
      </c>
      <c r="E163" s="2">
        <v>914</v>
      </c>
      <c r="F163" s="2">
        <v>2024</v>
      </c>
      <c r="G163" s="2" t="s">
        <v>12</v>
      </c>
      <c r="H163" s="4">
        <v>45298</v>
      </c>
      <c r="I163" s="4">
        <v>45382</v>
      </c>
      <c r="J163" s="2" t="s">
        <v>40</v>
      </c>
      <c r="K163" s="2">
        <v>84</v>
      </c>
    </row>
    <row r="164" spans="1:11" ht="16.5" x14ac:dyDescent="0.3">
      <c r="A164" s="2" t="s">
        <v>91</v>
      </c>
      <c r="B164" s="2">
        <v>8.6999999999999993</v>
      </c>
      <c r="C164" s="2">
        <v>13</v>
      </c>
      <c r="D164" s="2">
        <v>65</v>
      </c>
      <c r="E164" s="2">
        <v>663</v>
      </c>
      <c r="F164" s="2">
        <v>2023</v>
      </c>
      <c r="G164" s="2" t="s">
        <v>12</v>
      </c>
      <c r="H164" s="4">
        <v>45115</v>
      </c>
      <c r="I164" s="4">
        <v>45199</v>
      </c>
      <c r="J164" s="2" t="s">
        <v>19</v>
      </c>
      <c r="K164" s="2">
        <v>84</v>
      </c>
    </row>
    <row r="165" spans="1:11" ht="16.5" x14ac:dyDescent="0.3">
      <c r="A165" s="2" t="s">
        <v>91</v>
      </c>
      <c r="B165" s="2">
        <v>8.6999999999999993</v>
      </c>
      <c r="C165" s="2">
        <v>13</v>
      </c>
      <c r="D165" s="2">
        <v>65</v>
      </c>
      <c r="E165" s="2">
        <v>663</v>
      </c>
      <c r="F165" s="2">
        <v>2023</v>
      </c>
      <c r="G165" s="2" t="s">
        <v>12</v>
      </c>
      <c r="H165" s="4">
        <v>45115</v>
      </c>
      <c r="I165" s="4">
        <v>45199</v>
      </c>
      <c r="J165" s="2" t="s">
        <v>13</v>
      </c>
      <c r="K165" s="2">
        <v>84</v>
      </c>
    </row>
    <row r="166" spans="1:11" ht="16.5" x14ac:dyDescent="0.3">
      <c r="A166" s="2" t="s">
        <v>91</v>
      </c>
      <c r="B166" s="2">
        <v>8.6999999999999993</v>
      </c>
      <c r="C166" s="2">
        <v>13</v>
      </c>
      <c r="D166" s="2">
        <v>65</v>
      </c>
      <c r="E166" s="2">
        <v>663</v>
      </c>
      <c r="F166" s="2">
        <v>2023</v>
      </c>
      <c r="G166" s="2" t="s">
        <v>12</v>
      </c>
      <c r="H166" s="4">
        <v>45115</v>
      </c>
      <c r="I166" s="4">
        <v>45199</v>
      </c>
      <c r="J166" s="2" t="s">
        <v>21</v>
      </c>
      <c r="K166" s="2">
        <v>84</v>
      </c>
    </row>
    <row r="167" spans="1:11" ht="16.5" x14ac:dyDescent="0.3">
      <c r="A167" s="2" t="s">
        <v>92</v>
      </c>
      <c r="B167" s="2">
        <v>8.6999999999999993</v>
      </c>
      <c r="C167" s="2">
        <v>12</v>
      </c>
      <c r="D167" s="2">
        <v>69</v>
      </c>
      <c r="E167" s="2">
        <v>1376</v>
      </c>
      <c r="F167" s="2">
        <v>2017</v>
      </c>
      <c r="G167" s="2" t="s">
        <v>12</v>
      </c>
      <c r="H167" s="4">
        <v>42742</v>
      </c>
      <c r="I167" s="4">
        <v>42819</v>
      </c>
      <c r="J167" s="2" t="s">
        <v>15</v>
      </c>
      <c r="K167" s="2">
        <v>77</v>
      </c>
    </row>
    <row r="168" spans="1:11" ht="16.5" x14ac:dyDescent="0.3">
      <c r="A168" s="2" t="s">
        <v>93</v>
      </c>
      <c r="B168" s="2">
        <v>8.6999999999999993</v>
      </c>
      <c r="C168" s="2">
        <v>11</v>
      </c>
      <c r="D168" s="2">
        <v>68</v>
      </c>
      <c r="E168" s="2">
        <v>543</v>
      </c>
      <c r="F168" s="2">
        <v>2021</v>
      </c>
      <c r="G168" s="2" t="s">
        <v>12</v>
      </c>
      <c r="H168" s="4">
        <v>44316</v>
      </c>
      <c r="I168" s="4">
        <v>44386</v>
      </c>
      <c r="J168" s="2" t="s">
        <v>15</v>
      </c>
      <c r="K168" s="2">
        <v>70</v>
      </c>
    </row>
    <row r="169" spans="1:11" ht="16.5" x14ac:dyDescent="0.3">
      <c r="A169" s="2" t="s">
        <v>93</v>
      </c>
      <c r="B169" s="2">
        <v>8.6999999999999993</v>
      </c>
      <c r="C169" s="2">
        <v>11</v>
      </c>
      <c r="D169" s="2">
        <v>68</v>
      </c>
      <c r="E169" s="2">
        <v>543</v>
      </c>
      <c r="F169" s="2">
        <v>2021</v>
      </c>
      <c r="G169" s="2" t="s">
        <v>12</v>
      </c>
      <c r="H169" s="4">
        <v>44316</v>
      </c>
      <c r="I169" s="4">
        <v>44386</v>
      </c>
      <c r="J169" s="2" t="s">
        <v>20</v>
      </c>
      <c r="K169" s="2">
        <v>70</v>
      </c>
    </row>
    <row r="170" spans="1:11" ht="16.5" x14ac:dyDescent="0.3">
      <c r="A170" s="2" t="s">
        <v>93</v>
      </c>
      <c r="B170" s="2">
        <v>8.6999999999999993</v>
      </c>
      <c r="C170" s="2">
        <v>11</v>
      </c>
      <c r="D170" s="2">
        <v>68</v>
      </c>
      <c r="E170" s="2">
        <v>543</v>
      </c>
      <c r="F170" s="2">
        <v>2021</v>
      </c>
      <c r="G170" s="2" t="s">
        <v>12</v>
      </c>
      <c r="H170" s="4">
        <v>44316</v>
      </c>
      <c r="I170" s="4">
        <v>44386</v>
      </c>
      <c r="J170" s="2" t="s">
        <v>26</v>
      </c>
      <c r="K170" s="2">
        <v>70</v>
      </c>
    </row>
    <row r="171" spans="1:11" ht="16.5" x14ac:dyDescent="0.3">
      <c r="A171" s="2" t="s">
        <v>94</v>
      </c>
      <c r="B171" s="2">
        <v>8.6999999999999993</v>
      </c>
      <c r="C171" s="2">
        <v>11</v>
      </c>
      <c r="D171" s="2">
        <v>67</v>
      </c>
      <c r="E171" s="2">
        <v>72</v>
      </c>
      <c r="F171" s="2">
        <v>2022</v>
      </c>
      <c r="G171" s="2" t="s">
        <v>12</v>
      </c>
      <c r="H171" s="4">
        <v>44535</v>
      </c>
      <c r="I171" s="4">
        <v>44605</v>
      </c>
      <c r="J171" s="2" t="s">
        <v>19</v>
      </c>
      <c r="K171" s="2">
        <v>70</v>
      </c>
    </row>
    <row r="172" spans="1:11" ht="16.5" x14ac:dyDescent="0.3">
      <c r="A172" s="2" t="s">
        <v>94</v>
      </c>
      <c r="B172" s="2">
        <v>8.6999999999999993</v>
      </c>
      <c r="C172" s="2">
        <v>11</v>
      </c>
      <c r="D172" s="2">
        <v>67</v>
      </c>
      <c r="E172" s="2">
        <v>72</v>
      </c>
      <c r="F172" s="2">
        <v>2022</v>
      </c>
      <c r="G172" s="2" t="s">
        <v>12</v>
      </c>
      <c r="H172" s="4">
        <v>44535</v>
      </c>
      <c r="I172" s="4">
        <v>44605</v>
      </c>
      <c r="J172" s="2" t="s">
        <v>21</v>
      </c>
      <c r="K172" s="2">
        <v>70</v>
      </c>
    </row>
    <row r="173" spans="1:11" ht="16.5" x14ac:dyDescent="0.3">
      <c r="A173" s="2" t="s">
        <v>95</v>
      </c>
      <c r="B173" s="2">
        <v>8.69</v>
      </c>
      <c r="C173" s="2">
        <v>10</v>
      </c>
      <c r="D173" s="2">
        <v>70</v>
      </c>
      <c r="E173" s="2">
        <v>858</v>
      </c>
      <c r="F173" s="2">
        <v>2014</v>
      </c>
      <c r="G173" s="2" t="s">
        <v>12</v>
      </c>
      <c r="H173" s="4">
        <v>41734</v>
      </c>
      <c r="I173" s="4">
        <v>41811</v>
      </c>
      <c r="J173" s="2" t="s">
        <v>13</v>
      </c>
      <c r="K173" s="2">
        <v>77</v>
      </c>
    </row>
    <row r="174" spans="1:11" ht="16.5" x14ac:dyDescent="0.3">
      <c r="A174" s="2" t="s">
        <v>95</v>
      </c>
      <c r="B174" s="2">
        <v>8.69</v>
      </c>
      <c r="C174" s="2">
        <v>10</v>
      </c>
      <c r="D174" s="2">
        <v>70</v>
      </c>
      <c r="E174" s="2">
        <v>858</v>
      </c>
      <c r="F174" s="2">
        <v>2014</v>
      </c>
      <c r="G174" s="2" t="s">
        <v>12</v>
      </c>
      <c r="H174" s="4">
        <v>41734</v>
      </c>
      <c r="I174" s="4">
        <v>41811</v>
      </c>
      <c r="J174" s="2" t="s">
        <v>20</v>
      </c>
      <c r="K174" s="2">
        <v>77</v>
      </c>
    </row>
    <row r="175" spans="1:11" ht="16.5" x14ac:dyDescent="0.3">
      <c r="A175" s="2" t="s">
        <v>95</v>
      </c>
      <c r="B175" s="2">
        <v>8.69</v>
      </c>
      <c r="C175" s="2">
        <v>10</v>
      </c>
      <c r="D175" s="2">
        <v>70</v>
      </c>
      <c r="E175" s="2">
        <v>858</v>
      </c>
      <c r="F175" s="2">
        <v>2014</v>
      </c>
      <c r="G175" s="2" t="s">
        <v>12</v>
      </c>
      <c r="H175" s="4">
        <v>41734</v>
      </c>
      <c r="I175" s="4">
        <v>41811</v>
      </c>
      <c r="J175" s="2" t="s">
        <v>84</v>
      </c>
      <c r="K175" s="2">
        <v>77</v>
      </c>
    </row>
    <row r="176" spans="1:11" ht="16.5" x14ac:dyDescent="0.3">
      <c r="A176" s="2" t="s">
        <v>95</v>
      </c>
      <c r="B176" s="2">
        <v>8.69</v>
      </c>
      <c r="C176" s="2">
        <v>10</v>
      </c>
      <c r="D176" s="2">
        <v>70</v>
      </c>
      <c r="E176" s="2">
        <v>858</v>
      </c>
      <c r="F176" s="2">
        <v>2014</v>
      </c>
      <c r="G176" s="2" t="s">
        <v>12</v>
      </c>
      <c r="H176" s="4">
        <v>41734</v>
      </c>
      <c r="I176" s="4">
        <v>41811</v>
      </c>
      <c r="J176" s="2" t="s">
        <v>21</v>
      </c>
      <c r="K176" s="2">
        <v>77</v>
      </c>
    </row>
    <row r="177" spans="1:11" ht="16.5" x14ac:dyDescent="0.3">
      <c r="A177" s="2" t="s">
        <v>96</v>
      </c>
      <c r="B177" s="2">
        <v>8.69</v>
      </c>
      <c r="C177" s="2">
        <v>13</v>
      </c>
      <c r="D177" s="2">
        <v>72</v>
      </c>
      <c r="E177" s="2">
        <v>46</v>
      </c>
      <c r="F177" s="2">
        <v>2018</v>
      </c>
      <c r="G177" s="2" t="s">
        <v>12</v>
      </c>
      <c r="H177" s="4">
        <v>43111</v>
      </c>
      <c r="I177" s="4">
        <v>43195</v>
      </c>
      <c r="J177" s="2" t="s">
        <v>15</v>
      </c>
      <c r="K177" s="2">
        <v>84</v>
      </c>
    </row>
    <row r="178" spans="1:11" ht="16.5" x14ac:dyDescent="0.3">
      <c r="A178" s="2" t="s">
        <v>97</v>
      </c>
      <c r="B178" s="2">
        <v>8.69</v>
      </c>
      <c r="C178" s="2">
        <v>4</v>
      </c>
      <c r="D178" s="2">
        <v>71</v>
      </c>
      <c r="E178" s="2">
        <v>949</v>
      </c>
      <c r="F178" s="2">
        <v>1999</v>
      </c>
      <c r="G178" s="2" t="s">
        <v>12</v>
      </c>
      <c r="H178" s="4">
        <v>36211</v>
      </c>
      <c r="I178" s="4">
        <v>36425</v>
      </c>
      <c r="J178" s="2" t="s">
        <v>19</v>
      </c>
      <c r="K178" s="2">
        <v>214</v>
      </c>
    </row>
    <row r="179" spans="1:11" ht="16.5" x14ac:dyDescent="0.3">
      <c r="A179" s="2" t="s">
        <v>97</v>
      </c>
      <c r="B179" s="2">
        <v>8.69</v>
      </c>
      <c r="C179" s="2">
        <v>4</v>
      </c>
      <c r="D179" s="2">
        <v>71</v>
      </c>
      <c r="E179" s="2">
        <v>949</v>
      </c>
      <c r="F179" s="2">
        <v>1999</v>
      </c>
      <c r="G179" s="2" t="s">
        <v>12</v>
      </c>
      <c r="H179" s="4">
        <v>36211</v>
      </c>
      <c r="I179" s="4">
        <v>36425</v>
      </c>
      <c r="J179" s="2" t="s">
        <v>15</v>
      </c>
      <c r="K179" s="2">
        <v>214</v>
      </c>
    </row>
    <row r="180" spans="1:11" ht="16.5" x14ac:dyDescent="0.3">
      <c r="A180" s="2" t="s">
        <v>97</v>
      </c>
      <c r="B180" s="2">
        <v>8.69</v>
      </c>
      <c r="C180" s="2">
        <v>4</v>
      </c>
      <c r="D180" s="2">
        <v>71</v>
      </c>
      <c r="E180" s="2">
        <v>949</v>
      </c>
      <c r="F180" s="2">
        <v>1999</v>
      </c>
      <c r="G180" s="2" t="s">
        <v>12</v>
      </c>
      <c r="H180" s="4">
        <v>36211</v>
      </c>
      <c r="I180" s="4">
        <v>36425</v>
      </c>
      <c r="J180" s="2" t="s">
        <v>40</v>
      </c>
      <c r="K180" s="2">
        <v>214</v>
      </c>
    </row>
    <row r="181" spans="1:11" ht="16.5" x14ac:dyDescent="0.3">
      <c r="A181" s="2" t="s">
        <v>98</v>
      </c>
      <c r="B181" s="2">
        <v>8.68</v>
      </c>
      <c r="C181" s="2">
        <v>13</v>
      </c>
      <c r="D181" s="2">
        <v>74</v>
      </c>
      <c r="E181" s="2">
        <v>4189</v>
      </c>
      <c r="F181" s="2">
        <v>2025</v>
      </c>
      <c r="G181" s="2" t="s">
        <v>12</v>
      </c>
      <c r="H181" s="4">
        <v>45935</v>
      </c>
      <c r="I181" s="4">
        <v>46019</v>
      </c>
      <c r="J181" s="2" t="s">
        <v>19</v>
      </c>
      <c r="K181" s="2">
        <v>84</v>
      </c>
    </row>
    <row r="182" spans="1:11" ht="16.5" x14ac:dyDescent="0.3">
      <c r="A182" s="2" t="s">
        <v>99</v>
      </c>
      <c r="B182" s="2">
        <v>8.68</v>
      </c>
      <c r="C182" s="2">
        <v>24</v>
      </c>
      <c r="D182" s="2">
        <v>75</v>
      </c>
      <c r="E182" s="2">
        <v>1168</v>
      </c>
      <c r="F182" s="2">
        <v>2025</v>
      </c>
      <c r="G182" s="2" t="s">
        <v>12</v>
      </c>
      <c r="H182" s="4">
        <v>45753</v>
      </c>
      <c r="I182" s="4">
        <v>45914</v>
      </c>
      <c r="J182" s="2" t="s">
        <v>19</v>
      </c>
      <c r="K182" s="2">
        <v>161</v>
      </c>
    </row>
    <row r="183" spans="1:11" ht="16.5" x14ac:dyDescent="0.3">
      <c r="A183" s="2" t="s">
        <v>100</v>
      </c>
      <c r="B183" s="2">
        <v>8.68</v>
      </c>
      <c r="C183" s="2">
        <v>43</v>
      </c>
      <c r="D183" s="2">
        <v>73</v>
      </c>
      <c r="E183" s="2">
        <v>221</v>
      </c>
      <c r="F183" s="2">
        <v>1999</v>
      </c>
      <c r="G183" s="2" t="s">
        <v>12</v>
      </c>
      <c r="H183" s="4">
        <v>36341</v>
      </c>
      <c r="I183" s="4">
        <v>36786</v>
      </c>
      <c r="J183" s="2" t="s">
        <v>29</v>
      </c>
      <c r="K183" s="2">
        <v>445</v>
      </c>
    </row>
    <row r="184" spans="1:11" ht="16.5" x14ac:dyDescent="0.3">
      <c r="A184" s="2" t="s">
        <v>101</v>
      </c>
      <c r="B184" s="2">
        <v>8.67</v>
      </c>
      <c r="C184" s="2">
        <v>10</v>
      </c>
      <c r="D184" s="2">
        <v>82</v>
      </c>
      <c r="E184" s="2">
        <v>3195</v>
      </c>
      <c r="F184" s="2">
        <v>2025</v>
      </c>
      <c r="G184" s="2" t="s">
        <v>12</v>
      </c>
      <c r="H184" s="4">
        <v>45935</v>
      </c>
      <c r="I184" s="4">
        <v>46012</v>
      </c>
      <c r="J184" s="2" t="s">
        <v>15</v>
      </c>
      <c r="K184" s="2">
        <v>77</v>
      </c>
    </row>
    <row r="185" spans="1:11" ht="16.5" x14ac:dyDescent="0.3">
      <c r="A185" s="2" t="s">
        <v>101</v>
      </c>
      <c r="B185" s="2">
        <v>8.67</v>
      </c>
      <c r="C185" s="2">
        <v>10</v>
      </c>
      <c r="D185" s="2">
        <v>82</v>
      </c>
      <c r="E185" s="2">
        <v>3195</v>
      </c>
      <c r="F185" s="2">
        <v>2025</v>
      </c>
      <c r="G185" s="2" t="s">
        <v>12</v>
      </c>
      <c r="H185" s="4">
        <v>45935</v>
      </c>
      <c r="I185" s="4">
        <v>46012</v>
      </c>
      <c r="J185" s="2" t="s">
        <v>62</v>
      </c>
      <c r="K185" s="2">
        <v>77</v>
      </c>
    </row>
    <row r="186" spans="1:11" ht="16.5" x14ac:dyDescent="0.3">
      <c r="A186" s="2" t="s">
        <v>102</v>
      </c>
      <c r="B186" s="2">
        <v>8.67</v>
      </c>
      <c r="C186" s="2">
        <v>1</v>
      </c>
      <c r="D186" s="2">
        <v>80</v>
      </c>
      <c r="E186" s="2">
        <v>757</v>
      </c>
      <c r="F186" s="2">
        <v>2025</v>
      </c>
      <c r="G186" s="2" t="s">
        <v>12</v>
      </c>
      <c r="H186" s="4">
        <v>45856</v>
      </c>
      <c r="I186" s="2"/>
      <c r="J186" s="2" t="s">
        <v>19</v>
      </c>
      <c r="K186" s="2"/>
    </row>
    <row r="187" spans="1:11" ht="16.5" x14ac:dyDescent="0.3">
      <c r="A187" s="2" t="s">
        <v>102</v>
      </c>
      <c r="B187" s="2">
        <v>8.67</v>
      </c>
      <c r="C187" s="2">
        <v>1</v>
      </c>
      <c r="D187" s="2">
        <v>80</v>
      </c>
      <c r="E187" s="2">
        <v>757</v>
      </c>
      <c r="F187" s="2">
        <v>2025</v>
      </c>
      <c r="G187" s="2" t="s">
        <v>12</v>
      </c>
      <c r="H187" s="4">
        <v>45856</v>
      </c>
      <c r="I187" s="2"/>
      <c r="J187" s="2" t="s">
        <v>14</v>
      </c>
      <c r="K187" s="2"/>
    </row>
    <row r="188" spans="1:11" ht="16.5" x14ac:dyDescent="0.3">
      <c r="A188" s="2" t="s">
        <v>102</v>
      </c>
      <c r="B188" s="2">
        <v>8.67</v>
      </c>
      <c r="C188" s="2">
        <v>1</v>
      </c>
      <c r="D188" s="2">
        <v>80</v>
      </c>
      <c r="E188" s="2">
        <v>757</v>
      </c>
      <c r="F188" s="2">
        <v>2025</v>
      </c>
      <c r="G188" s="2" t="s">
        <v>12</v>
      </c>
      <c r="H188" s="4">
        <v>45856</v>
      </c>
      <c r="I188" s="2"/>
      <c r="J188" s="2" t="s">
        <v>21</v>
      </c>
      <c r="K188" s="2"/>
    </row>
    <row r="189" spans="1:11" ht="16.5" x14ac:dyDescent="0.3">
      <c r="A189" s="2" t="s">
        <v>103</v>
      </c>
      <c r="B189" s="2">
        <v>8.67</v>
      </c>
      <c r="C189" s="2">
        <v>12</v>
      </c>
      <c r="D189" s="2">
        <v>79</v>
      </c>
      <c r="E189" s="2">
        <v>610</v>
      </c>
      <c r="F189" s="2">
        <v>2026</v>
      </c>
      <c r="G189" s="2" t="s">
        <v>12</v>
      </c>
      <c r="H189" s="4">
        <v>46031</v>
      </c>
      <c r="I189" s="4">
        <v>46108</v>
      </c>
      <c r="J189" s="2" t="s">
        <v>19</v>
      </c>
      <c r="K189" s="2">
        <v>77</v>
      </c>
    </row>
    <row r="190" spans="1:11" ht="16.5" x14ac:dyDescent="0.3">
      <c r="A190" s="2" t="s">
        <v>103</v>
      </c>
      <c r="B190" s="2">
        <v>8.67</v>
      </c>
      <c r="C190" s="2">
        <v>12</v>
      </c>
      <c r="D190" s="2">
        <v>79</v>
      </c>
      <c r="E190" s="2">
        <v>610</v>
      </c>
      <c r="F190" s="2">
        <v>2026</v>
      </c>
      <c r="G190" s="2" t="s">
        <v>12</v>
      </c>
      <c r="H190" s="4">
        <v>46031</v>
      </c>
      <c r="I190" s="4">
        <v>46108</v>
      </c>
      <c r="J190" s="2" t="s">
        <v>21</v>
      </c>
      <c r="K190" s="2">
        <v>77</v>
      </c>
    </row>
    <row r="191" spans="1:11" ht="16.5" x14ac:dyDescent="0.3">
      <c r="A191" s="2" t="s">
        <v>104</v>
      </c>
      <c r="B191" s="2">
        <v>8.67</v>
      </c>
      <c r="C191" s="2">
        <v>14</v>
      </c>
      <c r="D191" s="2">
        <v>76</v>
      </c>
      <c r="E191" s="2">
        <v>958</v>
      </c>
      <c r="F191" s="2">
        <v>2024</v>
      </c>
      <c r="G191" s="2" t="s">
        <v>12</v>
      </c>
      <c r="H191" s="4">
        <v>45570</v>
      </c>
      <c r="I191" s="4">
        <v>45654</v>
      </c>
      <c r="J191" s="2" t="s">
        <v>19</v>
      </c>
      <c r="K191" s="2">
        <v>84</v>
      </c>
    </row>
    <row r="192" spans="1:11" ht="16.5" x14ac:dyDescent="0.3">
      <c r="A192" s="2" t="s">
        <v>104</v>
      </c>
      <c r="B192" s="2">
        <v>8.67</v>
      </c>
      <c r="C192" s="2">
        <v>14</v>
      </c>
      <c r="D192" s="2">
        <v>76</v>
      </c>
      <c r="E192" s="2">
        <v>958</v>
      </c>
      <c r="F192" s="2">
        <v>2024</v>
      </c>
      <c r="G192" s="2" t="s">
        <v>12</v>
      </c>
      <c r="H192" s="4">
        <v>45570</v>
      </c>
      <c r="I192" s="4">
        <v>45654</v>
      </c>
      <c r="J192" s="2" t="s">
        <v>13</v>
      </c>
      <c r="K192" s="2">
        <v>84</v>
      </c>
    </row>
    <row r="193" spans="1:11" ht="16.5" x14ac:dyDescent="0.3">
      <c r="A193" s="2" t="s">
        <v>104</v>
      </c>
      <c r="B193" s="2">
        <v>8.67</v>
      </c>
      <c r="C193" s="2">
        <v>14</v>
      </c>
      <c r="D193" s="2">
        <v>76</v>
      </c>
      <c r="E193" s="2">
        <v>958</v>
      </c>
      <c r="F193" s="2">
        <v>2024</v>
      </c>
      <c r="G193" s="2" t="s">
        <v>12</v>
      </c>
      <c r="H193" s="4">
        <v>45570</v>
      </c>
      <c r="I193" s="4">
        <v>45654</v>
      </c>
      <c r="J193" s="2" t="s">
        <v>21</v>
      </c>
      <c r="K193" s="2">
        <v>84</v>
      </c>
    </row>
    <row r="194" spans="1:11" ht="16.5" x14ac:dyDescent="0.3">
      <c r="A194" s="2" t="s">
        <v>105</v>
      </c>
      <c r="B194" s="2">
        <v>8.67</v>
      </c>
      <c r="C194" s="2">
        <v>26</v>
      </c>
      <c r="D194" s="2">
        <v>77</v>
      </c>
      <c r="E194" s="2">
        <v>863</v>
      </c>
      <c r="F194" s="2">
        <v>2009</v>
      </c>
      <c r="G194" s="2" t="s">
        <v>12</v>
      </c>
      <c r="H194" s="4">
        <v>39820</v>
      </c>
      <c r="I194" s="4">
        <v>39995</v>
      </c>
      <c r="J194" s="2" t="s">
        <v>62</v>
      </c>
      <c r="K194" s="2">
        <v>175</v>
      </c>
    </row>
    <row r="195" spans="1:11" ht="16.5" x14ac:dyDescent="0.3">
      <c r="A195" s="2" t="s">
        <v>106</v>
      </c>
      <c r="B195" s="2">
        <v>8.67</v>
      </c>
      <c r="C195" s="2">
        <v>1</v>
      </c>
      <c r="D195" s="2">
        <v>78</v>
      </c>
      <c r="E195" s="2">
        <v>99</v>
      </c>
      <c r="F195" s="2">
        <v>2004</v>
      </c>
      <c r="G195" s="2" t="s">
        <v>12</v>
      </c>
      <c r="H195" s="4">
        <v>38311</v>
      </c>
      <c r="I195" s="2"/>
      <c r="J195" s="2" t="s">
        <v>13</v>
      </c>
      <c r="K195" s="2"/>
    </row>
    <row r="196" spans="1:11" ht="16.5" x14ac:dyDescent="0.3">
      <c r="A196" s="2" t="s">
        <v>106</v>
      </c>
      <c r="B196" s="2">
        <v>8.67</v>
      </c>
      <c r="C196" s="2">
        <v>1</v>
      </c>
      <c r="D196" s="2">
        <v>78</v>
      </c>
      <c r="E196" s="2">
        <v>99</v>
      </c>
      <c r="F196" s="2">
        <v>2004</v>
      </c>
      <c r="G196" s="2" t="s">
        <v>12</v>
      </c>
      <c r="H196" s="4">
        <v>38311</v>
      </c>
      <c r="I196" s="2"/>
      <c r="J196" s="2" t="s">
        <v>14</v>
      </c>
      <c r="K196" s="2"/>
    </row>
    <row r="197" spans="1:11" ht="16.5" x14ac:dyDescent="0.3">
      <c r="A197" s="2" t="s">
        <v>106</v>
      </c>
      <c r="B197" s="2">
        <v>8.67</v>
      </c>
      <c r="C197" s="2">
        <v>1</v>
      </c>
      <c r="D197" s="2">
        <v>78</v>
      </c>
      <c r="E197" s="2">
        <v>99</v>
      </c>
      <c r="F197" s="2">
        <v>2004</v>
      </c>
      <c r="G197" s="2" t="s">
        <v>12</v>
      </c>
      <c r="H197" s="4">
        <v>38311</v>
      </c>
      <c r="I197" s="2"/>
      <c r="J197" s="2" t="s">
        <v>15</v>
      </c>
      <c r="K197" s="2"/>
    </row>
    <row r="198" spans="1:11" ht="16.5" x14ac:dyDescent="0.3">
      <c r="A198" s="2" t="s">
        <v>106</v>
      </c>
      <c r="B198" s="2">
        <v>8.67</v>
      </c>
      <c r="C198" s="2">
        <v>1</v>
      </c>
      <c r="D198" s="2">
        <v>78</v>
      </c>
      <c r="E198" s="2">
        <v>99</v>
      </c>
      <c r="F198" s="2">
        <v>2004</v>
      </c>
      <c r="G198" s="2" t="s">
        <v>12</v>
      </c>
      <c r="H198" s="4">
        <v>38311</v>
      </c>
      <c r="I198" s="2"/>
      <c r="J198" s="2" t="s">
        <v>16</v>
      </c>
      <c r="K198" s="2"/>
    </row>
    <row r="199" spans="1:11" ht="16.5" x14ac:dyDescent="0.3">
      <c r="A199" s="2" t="s">
        <v>106</v>
      </c>
      <c r="B199" s="2">
        <v>8.67</v>
      </c>
      <c r="C199" s="2">
        <v>1</v>
      </c>
      <c r="D199" s="2">
        <v>78</v>
      </c>
      <c r="E199" s="2">
        <v>99</v>
      </c>
      <c r="F199" s="2">
        <v>2004</v>
      </c>
      <c r="G199" s="2" t="s">
        <v>12</v>
      </c>
      <c r="H199" s="4">
        <v>38311</v>
      </c>
      <c r="I199" s="2"/>
      <c r="J199" s="2" t="s">
        <v>40</v>
      </c>
      <c r="K199" s="2"/>
    </row>
    <row r="200" spans="1:11" ht="16.5" x14ac:dyDescent="0.3">
      <c r="A200" s="2" t="s">
        <v>107</v>
      </c>
      <c r="B200" s="2">
        <v>8.67</v>
      </c>
      <c r="C200" s="2">
        <v>1</v>
      </c>
      <c r="D200" s="2">
        <v>81</v>
      </c>
      <c r="E200" s="2">
        <v>107</v>
      </c>
      <c r="F200" s="2">
        <v>1997</v>
      </c>
      <c r="G200" s="2" t="s">
        <v>12</v>
      </c>
      <c r="H200" s="4">
        <v>35623</v>
      </c>
      <c r="I200" s="2"/>
      <c r="J200" s="2" t="s">
        <v>19</v>
      </c>
      <c r="K200" s="2"/>
    </row>
    <row r="201" spans="1:11" ht="16.5" x14ac:dyDescent="0.3">
      <c r="A201" s="2" t="s">
        <v>107</v>
      </c>
      <c r="B201" s="2">
        <v>8.67</v>
      </c>
      <c r="C201" s="2">
        <v>1</v>
      </c>
      <c r="D201" s="2">
        <v>81</v>
      </c>
      <c r="E201" s="2">
        <v>107</v>
      </c>
      <c r="F201" s="2">
        <v>1997</v>
      </c>
      <c r="G201" s="2" t="s">
        <v>12</v>
      </c>
      <c r="H201" s="4">
        <v>35623</v>
      </c>
      <c r="I201" s="2"/>
      <c r="J201" s="2" t="s">
        <v>13</v>
      </c>
      <c r="K201" s="2"/>
    </row>
    <row r="202" spans="1:11" ht="16.5" x14ac:dyDescent="0.3">
      <c r="A202" s="2" t="s">
        <v>107</v>
      </c>
      <c r="B202" s="2">
        <v>8.67</v>
      </c>
      <c r="C202" s="2">
        <v>1</v>
      </c>
      <c r="D202" s="2">
        <v>81</v>
      </c>
      <c r="E202" s="2">
        <v>107</v>
      </c>
      <c r="F202" s="2">
        <v>1997</v>
      </c>
      <c r="G202" s="2" t="s">
        <v>12</v>
      </c>
      <c r="H202" s="4">
        <v>35623</v>
      </c>
      <c r="I202" s="2"/>
      <c r="J202" s="2" t="s">
        <v>14</v>
      </c>
      <c r="K202" s="2"/>
    </row>
    <row r="203" spans="1:11" ht="16.5" x14ac:dyDescent="0.3">
      <c r="A203" s="2" t="s">
        <v>107</v>
      </c>
      <c r="B203" s="2">
        <v>8.67</v>
      </c>
      <c r="C203" s="2">
        <v>1</v>
      </c>
      <c r="D203" s="2">
        <v>81</v>
      </c>
      <c r="E203" s="2">
        <v>107</v>
      </c>
      <c r="F203" s="2">
        <v>1997</v>
      </c>
      <c r="G203" s="2" t="s">
        <v>12</v>
      </c>
      <c r="H203" s="4">
        <v>35623</v>
      </c>
      <c r="I203" s="2"/>
      <c r="J203" s="2" t="s">
        <v>16</v>
      </c>
      <c r="K203" s="2"/>
    </row>
    <row r="204" spans="1:11" ht="16.5" x14ac:dyDescent="0.3">
      <c r="A204" s="2" t="s">
        <v>108</v>
      </c>
      <c r="B204" s="2">
        <v>8.65</v>
      </c>
      <c r="C204" s="2">
        <v>14</v>
      </c>
      <c r="D204" s="2">
        <v>83</v>
      </c>
      <c r="E204" s="2">
        <v>2349</v>
      </c>
      <c r="F204" s="2">
        <v>2024</v>
      </c>
      <c r="G204" s="2" t="s">
        <v>12</v>
      </c>
      <c r="H204" s="4">
        <v>45479</v>
      </c>
      <c r="I204" s="4">
        <v>45584</v>
      </c>
      <c r="J204" s="2" t="s">
        <v>29</v>
      </c>
      <c r="K204" s="2">
        <v>105</v>
      </c>
    </row>
    <row r="205" spans="1:11" ht="16.5" x14ac:dyDescent="0.3">
      <c r="A205" s="2" t="s">
        <v>108</v>
      </c>
      <c r="B205" s="2">
        <v>8.65</v>
      </c>
      <c r="C205" s="2">
        <v>14</v>
      </c>
      <c r="D205" s="2">
        <v>83</v>
      </c>
      <c r="E205" s="2">
        <v>2349</v>
      </c>
      <c r="F205" s="2">
        <v>2024</v>
      </c>
      <c r="G205" s="2" t="s">
        <v>12</v>
      </c>
      <c r="H205" s="4">
        <v>45479</v>
      </c>
      <c r="I205" s="4">
        <v>45584</v>
      </c>
      <c r="J205" s="2" t="s">
        <v>20</v>
      </c>
      <c r="K205" s="2">
        <v>105</v>
      </c>
    </row>
    <row r="206" spans="1:11" ht="16.5" x14ac:dyDescent="0.3">
      <c r="A206" s="2" t="s">
        <v>108</v>
      </c>
      <c r="B206" s="2">
        <v>8.65</v>
      </c>
      <c r="C206" s="2">
        <v>14</v>
      </c>
      <c r="D206" s="2">
        <v>83</v>
      </c>
      <c r="E206" s="2">
        <v>2349</v>
      </c>
      <c r="F206" s="2">
        <v>2024</v>
      </c>
      <c r="G206" s="2" t="s">
        <v>12</v>
      </c>
      <c r="H206" s="4">
        <v>45479</v>
      </c>
      <c r="I206" s="4">
        <v>45584</v>
      </c>
      <c r="J206" s="2" t="s">
        <v>21</v>
      </c>
      <c r="K206" s="2">
        <v>105</v>
      </c>
    </row>
    <row r="207" spans="1:11" ht="16.5" x14ac:dyDescent="0.3">
      <c r="A207" s="2" t="s">
        <v>109</v>
      </c>
      <c r="B207" s="2">
        <v>8.65</v>
      </c>
      <c r="C207" s="2">
        <v>1</v>
      </c>
      <c r="D207" s="2">
        <v>85</v>
      </c>
      <c r="E207" s="2">
        <v>3391</v>
      </c>
      <c r="F207" s="2">
        <v>2024</v>
      </c>
      <c r="G207" s="2" t="s">
        <v>12</v>
      </c>
      <c r="H207" s="4">
        <v>45436</v>
      </c>
      <c r="I207" s="2"/>
      <c r="J207" s="2" t="s">
        <v>62</v>
      </c>
      <c r="K207" s="2"/>
    </row>
    <row r="208" spans="1:11" ht="16.5" x14ac:dyDescent="0.3">
      <c r="A208" s="2" t="s">
        <v>110</v>
      </c>
      <c r="B208" s="2">
        <v>8.65</v>
      </c>
      <c r="C208" s="2">
        <v>26</v>
      </c>
      <c r="D208" s="2">
        <v>84</v>
      </c>
      <c r="E208" s="2">
        <v>226</v>
      </c>
      <c r="F208" s="2">
        <v>2005</v>
      </c>
      <c r="G208" s="2" t="s">
        <v>12</v>
      </c>
      <c r="H208" s="4">
        <v>38648</v>
      </c>
      <c r="I208" s="4">
        <v>38887</v>
      </c>
      <c r="J208" s="2" t="s">
        <v>13</v>
      </c>
      <c r="K208" s="2">
        <v>239</v>
      </c>
    </row>
    <row r="209" spans="1:11" ht="16.5" x14ac:dyDescent="0.3">
      <c r="A209" s="2" t="s">
        <v>110</v>
      </c>
      <c r="B209" s="2">
        <v>8.65</v>
      </c>
      <c r="C209" s="2">
        <v>26</v>
      </c>
      <c r="D209" s="2">
        <v>84</v>
      </c>
      <c r="E209" s="2">
        <v>226</v>
      </c>
      <c r="F209" s="2">
        <v>2005</v>
      </c>
      <c r="G209" s="2" t="s">
        <v>12</v>
      </c>
      <c r="H209" s="4">
        <v>38648</v>
      </c>
      <c r="I209" s="4">
        <v>38887</v>
      </c>
      <c r="J209" s="2" t="s">
        <v>20</v>
      </c>
      <c r="K209" s="2">
        <v>239</v>
      </c>
    </row>
    <row r="210" spans="1:11" ht="16.5" x14ac:dyDescent="0.3">
      <c r="A210" s="2" t="s">
        <v>110</v>
      </c>
      <c r="B210" s="2">
        <v>8.65</v>
      </c>
      <c r="C210" s="2">
        <v>26</v>
      </c>
      <c r="D210" s="2">
        <v>84</v>
      </c>
      <c r="E210" s="2">
        <v>226</v>
      </c>
      <c r="F210" s="2">
        <v>2005</v>
      </c>
      <c r="G210" s="2" t="s">
        <v>12</v>
      </c>
      <c r="H210" s="4">
        <v>38648</v>
      </c>
      <c r="I210" s="4">
        <v>38887</v>
      </c>
      <c r="J210" s="2" t="s">
        <v>84</v>
      </c>
      <c r="K210" s="2">
        <v>239</v>
      </c>
    </row>
    <row r="211" spans="1:11" ht="16.5" x14ac:dyDescent="0.3">
      <c r="A211" s="2" t="s">
        <v>110</v>
      </c>
      <c r="B211" s="2">
        <v>8.65</v>
      </c>
      <c r="C211" s="2">
        <v>26</v>
      </c>
      <c r="D211" s="2">
        <v>84</v>
      </c>
      <c r="E211" s="2">
        <v>226</v>
      </c>
      <c r="F211" s="2">
        <v>2005</v>
      </c>
      <c r="G211" s="2" t="s">
        <v>12</v>
      </c>
      <c r="H211" s="4">
        <v>38648</v>
      </c>
      <c r="I211" s="4">
        <v>38887</v>
      </c>
      <c r="J211" s="2" t="s">
        <v>21</v>
      </c>
      <c r="K211" s="2">
        <v>239</v>
      </c>
    </row>
    <row r="212" spans="1:11" ht="16.5" x14ac:dyDescent="0.3">
      <c r="A212" s="2" t="s">
        <v>111</v>
      </c>
      <c r="B212" s="2">
        <v>8.64</v>
      </c>
      <c r="C212" s="2">
        <v>27</v>
      </c>
      <c r="D212" s="2">
        <v>89</v>
      </c>
      <c r="E212" s="2">
        <v>66</v>
      </c>
      <c r="F212" s="2">
        <v>2007</v>
      </c>
      <c r="G212" s="2" t="s">
        <v>12</v>
      </c>
      <c r="H212" s="4">
        <v>39173</v>
      </c>
      <c r="I212" s="4">
        <v>39355</v>
      </c>
      <c r="J212" s="2" t="s">
        <v>13</v>
      </c>
      <c r="K212" s="2">
        <v>182</v>
      </c>
    </row>
    <row r="213" spans="1:11" ht="16.5" x14ac:dyDescent="0.3">
      <c r="A213" s="2" t="s">
        <v>111</v>
      </c>
      <c r="B213" s="2">
        <v>8.64</v>
      </c>
      <c r="C213" s="2">
        <v>27</v>
      </c>
      <c r="D213" s="2">
        <v>89</v>
      </c>
      <c r="E213" s="2">
        <v>66</v>
      </c>
      <c r="F213" s="2">
        <v>2007</v>
      </c>
      <c r="G213" s="2" t="s">
        <v>12</v>
      </c>
      <c r="H213" s="4">
        <v>39173</v>
      </c>
      <c r="I213" s="4">
        <v>39355</v>
      </c>
      <c r="J213" s="2" t="s">
        <v>14</v>
      </c>
      <c r="K213" s="2">
        <v>182</v>
      </c>
    </row>
    <row r="214" spans="1:11" ht="16.5" x14ac:dyDescent="0.3">
      <c r="A214" s="2" t="s">
        <v>111</v>
      </c>
      <c r="B214" s="2">
        <v>8.64</v>
      </c>
      <c r="C214" s="2">
        <v>27</v>
      </c>
      <c r="D214" s="2">
        <v>89</v>
      </c>
      <c r="E214" s="2">
        <v>66</v>
      </c>
      <c r="F214" s="2">
        <v>2007</v>
      </c>
      <c r="G214" s="2" t="s">
        <v>12</v>
      </c>
      <c r="H214" s="4">
        <v>39173</v>
      </c>
      <c r="I214" s="4">
        <v>39355</v>
      </c>
      <c r="J214" s="2" t="s">
        <v>25</v>
      </c>
      <c r="K214" s="2">
        <v>182</v>
      </c>
    </row>
    <row r="215" spans="1:11" ht="16.5" x14ac:dyDescent="0.3">
      <c r="A215" s="2" t="s">
        <v>112</v>
      </c>
      <c r="B215" s="2">
        <v>8.64</v>
      </c>
      <c r="C215" s="2">
        <v>22</v>
      </c>
      <c r="D215" s="2">
        <v>87</v>
      </c>
      <c r="E215" s="2">
        <v>24</v>
      </c>
      <c r="F215" s="2">
        <v>2014</v>
      </c>
      <c r="G215" s="2" t="s">
        <v>12</v>
      </c>
      <c r="H215" s="4">
        <v>41922</v>
      </c>
      <c r="I215" s="4">
        <v>42083</v>
      </c>
      <c r="J215" s="2" t="s">
        <v>15</v>
      </c>
      <c r="K215" s="2">
        <v>161</v>
      </c>
    </row>
    <row r="216" spans="1:11" ht="16.5" x14ac:dyDescent="0.3">
      <c r="A216" s="2" t="s">
        <v>112</v>
      </c>
      <c r="B216" s="2">
        <v>8.64</v>
      </c>
      <c r="C216" s="2">
        <v>22</v>
      </c>
      <c r="D216" s="2">
        <v>87</v>
      </c>
      <c r="E216" s="2">
        <v>24</v>
      </c>
      <c r="F216" s="2">
        <v>2014</v>
      </c>
      <c r="G216" s="2" t="s">
        <v>12</v>
      </c>
      <c r="H216" s="4">
        <v>41922</v>
      </c>
      <c r="I216" s="4">
        <v>42083</v>
      </c>
      <c r="J216" s="2" t="s">
        <v>40</v>
      </c>
      <c r="K216" s="2">
        <v>161</v>
      </c>
    </row>
    <row r="217" spans="1:11" ht="16.5" x14ac:dyDescent="0.3">
      <c r="A217" s="2" t="s">
        <v>113</v>
      </c>
      <c r="B217" s="2">
        <v>8.64</v>
      </c>
      <c r="C217" s="2">
        <v>12</v>
      </c>
      <c r="D217" s="2">
        <v>90</v>
      </c>
      <c r="E217" s="2">
        <v>3116</v>
      </c>
      <c r="F217" s="2">
        <v>2023</v>
      </c>
      <c r="G217" s="2" t="s">
        <v>12</v>
      </c>
      <c r="H217" s="4">
        <v>45217</v>
      </c>
      <c r="I217" s="4">
        <v>45308</v>
      </c>
      <c r="J217" s="2" t="s">
        <v>19</v>
      </c>
      <c r="K217" s="2">
        <v>91</v>
      </c>
    </row>
    <row r="218" spans="1:11" ht="16.5" x14ac:dyDescent="0.3">
      <c r="A218" s="2" t="s">
        <v>113</v>
      </c>
      <c r="B218" s="2">
        <v>8.64</v>
      </c>
      <c r="C218" s="2">
        <v>12</v>
      </c>
      <c r="D218" s="2">
        <v>90</v>
      </c>
      <c r="E218" s="2">
        <v>3116</v>
      </c>
      <c r="F218" s="2">
        <v>2023</v>
      </c>
      <c r="G218" s="2" t="s">
        <v>12</v>
      </c>
      <c r="H218" s="4">
        <v>45217</v>
      </c>
      <c r="I218" s="4">
        <v>45308</v>
      </c>
      <c r="J218" s="2" t="s">
        <v>13</v>
      </c>
      <c r="K218" s="2">
        <v>91</v>
      </c>
    </row>
    <row r="219" spans="1:11" ht="16.5" x14ac:dyDescent="0.3">
      <c r="A219" s="2" t="s">
        <v>113</v>
      </c>
      <c r="B219" s="2">
        <v>8.64</v>
      </c>
      <c r="C219" s="2">
        <v>12</v>
      </c>
      <c r="D219" s="2">
        <v>90</v>
      </c>
      <c r="E219" s="2">
        <v>3116</v>
      </c>
      <c r="F219" s="2">
        <v>2023</v>
      </c>
      <c r="G219" s="2" t="s">
        <v>12</v>
      </c>
      <c r="H219" s="4">
        <v>45217</v>
      </c>
      <c r="I219" s="4">
        <v>45308</v>
      </c>
      <c r="J219" s="2" t="s">
        <v>15</v>
      </c>
      <c r="K219" s="2">
        <v>91</v>
      </c>
    </row>
    <row r="220" spans="1:11" ht="16.5" x14ac:dyDescent="0.3">
      <c r="A220" s="2" t="s">
        <v>113</v>
      </c>
      <c r="B220" s="2">
        <v>8.64</v>
      </c>
      <c r="C220" s="2">
        <v>12</v>
      </c>
      <c r="D220" s="2">
        <v>90</v>
      </c>
      <c r="E220" s="2">
        <v>3116</v>
      </c>
      <c r="F220" s="2">
        <v>2023</v>
      </c>
      <c r="G220" s="2" t="s">
        <v>12</v>
      </c>
      <c r="H220" s="4">
        <v>45217</v>
      </c>
      <c r="I220" s="4">
        <v>45308</v>
      </c>
      <c r="J220" s="2" t="s">
        <v>16</v>
      </c>
      <c r="K220" s="2">
        <v>91</v>
      </c>
    </row>
    <row r="221" spans="1:11" ht="16.5" x14ac:dyDescent="0.3">
      <c r="A221" s="2" t="s">
        <v>114</v>
      </c>
      <c r="B221" s="2">
        <v>8.64</v>
      </c>
      <c r="C221" s="2">
        <v>12</v>
      </c>
      <c r="D221" s="2">
        <v>86</v>
      </c>
      <c r="E221" s="2">
        <v>2431</v>
      </c>
      <c r="F221" s="2">
        <v>2021</v>
      </c>
      <c r="G221" s="2" t="s">
        <v>12</v>
      </c>
      <c r="H221" s="4">
        <v>44415</v>
      </c>
      <c r="I221" s="4">
        <v>44485</v>
      </c>
      <c r="J221" s="2" t="s">
        <v>19</v>
      </c>
      <c r="K221" s="2">
        <v>70</v>
      </c>
    </row>
    <row r="222" spans="1:11" ht="16.5" x14ac:dyDescent="0.3">
      <c r="A222" s="2" t="s">
        <v>114</v>
      </c>
      <c r="B222" s="2">
        <v>8.64</v>
      </c>
      <c r="C222" s="2">
        <v>12</v>
      </c>
      <c r="D222" s="2">
        <v>86</v>
      </c>
      <c r="E222" s="2">
        <v>2431</v>
      </c>
      <c r="F222" s="2">
        <v>2021</v>
      </c>
      <c r="G222" s="2" t="s">
        <v>12</v>
      </c>
      <c r="H222" s="4">
        <v>44415</v>
      </c>
      <c r="I222" s="4">
        <v>44485</v>
      </c>
      <c r="J222" s="2" t="s">
        <v>13</v>
      </c>
      <c r="K222" s="2">
        <v>70</v>
      </c>
    </row>
    <row r="223" spans="1:11" ht="16.5" x14ac:dyDescent="0.3">
      <c r="A223" s="2" t="s">
        <v>114</v>
      </c>
      <c r="B223" s="2">
        <v>8.64</v>
      </c>
      <c r="C223" s="2">
        <v>12</v>
      </c>
      <c r="D223" s="2">
        <v>86</v>
      </c>
      <c r="E223" s="2">
        <v>2431</v>
      </c>
      <c r="F223" s="2">
        <v>2021</v>
      </c>
      <c r="G223" s="2" t="s">
        <v>12</v>
      </c>
      <c r="H223" s="4">
        <v>44415</v>
      </c>
      <c r="I223" s="4">
        <v>44485</v>
      </c>
      <c r="J223" s="2" t="s">
        <v>15</v>
      </c>
      <c r="K223" s="2">
        <v>70</v>
      </c>
    </row>
    <row r="224" spans="1:11" ht="16.5" x14ac:dyDescent="0.3">
      <c r="A224" s="2" t="s">
        <v>114</v>
      </c>
      <c r="B224" s="2">
        <v>8.64</v>
      </c>
      <c r="C224" s="2">
        <v>12</v>
      </c>
      <c r="D224" s="2">
        <v>86</v>
      </c>
      <c r="E224" s="2">
        <v>2431</v>
      </c>
      <c r="F224" s="2">
        <v>2021</v>
      </c>
      <c r="G224" s="2" t="s">
        <v>12</v>
      </c>
      <c r="H224" s="4">
        <v>44415</v>
      </c>
      <c r="I224" s="4">
        <v>44485</v>
      </c>
      <c r="J224" s="2" t="s">
        <v>16</v>
      </c>
      <c r="K224" s="2">
        <v>70</v>
      </c>
    </row>
    <row r="225" spans="1:11" ht="16.5" x14ac:dyDescent="0.3">
      <c r="A225" s="2" t="s">
        <v>114</v>
      </c>
      <c r="B225" s="2">
        <v>8.64</v>
      </c>
      <c r="C225" s="2">
        <v>12</v>
      </c>
      <c r="D225" s="2">
        <v>86</v>
      </c>
      <c r="E225" s="2">
        <v>2431</v>
      </c>
      <c r="F225" s="2">
        <v>2021</v>
      </c>
      <c r="G225" s="2" t="s">
        <v>12</v>
      </c>
      <c r="H225" s="4">
        <v>44415</v>
      </c>
      <c r="I225" s="4">
        <v>44485</v>
      </c>
      <c r="J225" s="2" t="s">
        <v>20</v>
      </c>
      <c r="K225" s="2">
        <v>70</v>
      </c>
    </row>
    <row r="226" spans="1:11" ht="16.5" x14ac:dyDescent="0.3">
      <c r="A226" s="2" t="s">
        <v>115</v>
      </c>
      <c r="B226" s="2">
        <v>8.64</v>
      </c>
      <c r="C226" s="2">
        <v>12</v>
      </c>
      <c r="D226" s="2">
        <v>88</v>
      </c>
      <c r="E226" s="2">
        <v>18</v>
      </c>
      <c r="F226" s="2">
        <v>2018</v>
      </c>
      <c r="G226" s="2" t="s">
        <v>12</v>
      </c>
      <c r="H226" s="4">
        <v>43304</v>
      </c>
      <c r="I226" s="4">
        <v>43388</v>
      </c>
      <c r="J226" s="2" t="s">
        <v>19</v>
      </c>
      <c r="K226" s="2">
        <v>84</v>
      </c>
    </row>
    <row r="227" spans="1:11" ht="16.5" x14ac:dyDescent="0.3">
      <c r="A227" s="2" t="s">
        <v>115</v>
      </c>
      <c r="B227" s="2">
        <v>8.64</v>
      </c>
      <c r="C227" s="2">
        <v>12</v>
      </c>
      <c r="D227" s="2">
        <v>88</v>
      </c>
      <c r="E227" s="2">
        <v>18</v>
      </c>
      <c r="F227" s="2">
        <v>2018</v>
      </c>
      <c r="G227" s="2" t="s">
        <v>12</v>
      </c>
      <c r="H227" s="4">
        <v>43304</v>
      </c>
      <c r="I227" s="4">
        <v>43388</v>
      </c>
      <c r="J227" s="2" t="s">
        <v>15</v>
      </c>
      <c r="K227" s="2">
        <v>84</v>
      </c>
    </row>
    <row r="228" spans="1:11" ht="16.5" x14ac:dyDescent="0.3">
      <c r="A228" s="2" t="s">
        <v>115</v>
      </c>
      <c r="B228" s="2">
        <v>8.64</v>
      </c>
      <c r="C228" s="2">
        <v>12</v>
      </c>
      <c r="D228" s="2">
        <v>88</v>
      </c>
      <c r="E228" s="2">
        <v>18</v>
      </c>
      <c r="F228" s="2">
        <v>2018</v>
      </c>
      <c r="G228" s="2" t="s">
        <v>12</v>
      </c>
      <c r="H228" s="4">
        <v>43304</v>
      </c>
      <c r="I228" s="4">
        <v>43388</v>
      </c>
      <c r="J228" s="2" t="s">
        <v>26</v>
      </c>
      <c r="K228" s="2">
        <v>84</v>
      </c>
    </row>
    <row r="229" spans="1:11" ht="16.5" x14ac:dyDescent="0.3">
      <c r="A229" s="2" t="s">
        <v>116</v>
      </c>
      <c r="B229" s="2">
        <v>8.6300000000000008</v>
      </c>
      <c r="C229" s="2">
        <v>1</v>
      </c>
      <c r="D229" s="2">
        <v>92</v>
      </c>
      <c r="E229" s="2">
        <v>7485</v>
      </c>
      <c r="F229" s="2">
        <v>2025</v>
      </c>
      <c r="G229" s="2" t="s">
        <v>12</v>
      </c>
      <c r="H229" s="4">
        <v>45856</v>
      </c>
      <c r="I229" s="2"/>
      <c r="J229" s="2" t="s">
        <v>13</v>
      </c>
      <c r="K229" s="2"/>
    </row>
    <row r="230" spans="1:11" ht="16.5" x14ac:dyDescent="0.3">
      <c r="A230" s="2" t="s">
        <v>116</v>
      </c>
      <c r="B230" s="2">
        <v>8.6300000000000008</v>
      </c>
      <c r="C230" s="2">
        <v>1</v>
      </c>
      <c r="D230" s="2">
        <v>92</v>
      </c>
      <c r="E230" s="2">
        <v>7485</v>
      </c>
      <c r="F230" s="2">
        <v>2025</v>
      </c>
      <c r="G230" s="2" t="s">
        <v>12</v>
      </c>
      <c r="H230" s="4">
        <v>45856</v>
      </c>
      <c r="I230" s="2"/>
      <c r="J230" s="2" t="s">
        <v>15</v>
      </c>
      <c r="K230" s="2"/>
    </row>
    <row r="231" spans="1:11" ht="16.5" x14ac:dyDescent="0.3">
      <c r="A231" s="2" t="s">
        <v>116</v>
      </c>
      <c r="B231" s="2">
        <v>8.6300000000000008</v>
      </c>
      <c r="C231" s="2">
        <v>1</v>
      </c>
      <c r="D231" s="2">
        <v>92</v>
      </c>
      <c r="E231" s="2">
        <v>7485</v>
      </c>
      <c r="F231" s="2">
        <v>2025</v>
      </c>
      <c r="G231" s="2" t="s">
        <v>12</v>
      </c>
      <c r="H231" s="4">
        <v>45856</v>
      </c>
      <c r="I231" s="2"/>
      <c r="J231" s="2" t="s">
        <v>16</v>
      </c>
      <c r="K231" s="2"/>
    </row>
    <row r="232" spans="1:11" ht="16.5" x14ac:dyDescent="0.3">
      <c r="A232" s="2" t="s">
        <v>117</v>
      </c>
      <c r="B232" s="2">
        <v>8.6300000000000008</v>
      </c>
      <c r="C232" s="2">
        <v>1</v>
      </c>
      <c r="D232" s="2">
        <v>91</v>
      </c>
      <c r="E232" s="2">
        <v>669</v>
      </c>
      <c r="F232" s="2">
        <v>2020</v>
      </c>
      <c r="G232" s="2" t="s">
        <v>12</v>
      </c>
      <c r="H232" s="4">
        <v>44058</v>
      </c>
      <c r="I232" s="2"/>
      <c r="J232" s="2" t="s">
        <v>19</v>
      </c>
      <c r="K232" s="2"/>
    </row>
    <row r="233" spans="1:11" ht="16.5" x14ac:dyDescent="0.3">
      <c r="A233" s="2" t="s">
        <v>117</v>
      </c>
      <c r="B233" s="2">
        <v>8.6300000000000008</v>
      </c>
      <c r="C233" s="2">
        <v>1</v>
      </c>
      <c r="D233" s="2">
        <v>91</v>
      </c>
      <c r="E233" s="2">
        <v>669</v>
      </c>
      <c r="F233" s="2">
        <v>2020</v>
      </c>
      <c r="G233" s="2" t="s">
        <v>12</v>
      </c>
      <c r="H233" s="4">
        <v>44058</v>
      </c>
      <c r="I233" s="2"/>
      <c r="J233" s="2" t="s">
        <v>16</v>
      </c>
      <c r="K233" s="2"/>
    </row>
    <row r="234" spans="1:11" ht="16.5" x14ac:dyDescent="0.3">
      <c r="A234" s="2" t="s">
        <v>118</v>
      </c>
      <c r="B234" s="2">
        <v>8.6300000000000008</v>
      </c>
      <c r="C234" s="2">
        <v>13</v>
      </c>
      <c r="D234" s="2">
        <v>93</v>
      </c>
      <c r="E234" s="2">
        <v>1059</v>
      </c>
      <c r="F234" s="2">
        <v>2012</v>
      </c>
      <c r="G234" s="2" t="s">
        <v>12</v>
      </c>
      <c r="H234" s="4">
        <v>40911</v>
      </c>
      <c r="I234" s="4">
        <v>40995</v>
      </c>
      <c r="J234" s="2" t="s">
        <v>84</v>
      </c>
      <c r="K234" s="2">
        <v>84</v>
      </c>
    </row>
    <row r="235" spans="1:11" ht="16.5" x14ac:dyDescent="0.3">
      <c r="A235" s="2" t="s">
        <v>118</v>
      </c>
      <c r="B235" s="2">
        <v>8.6300000000000008</v>
      </c>
      <c r="C235" s="2">
        <v>13</v>
      </c>
      <c r="D235" s="2">
        <v>93</v>
      </c>
      <c r="E235" s="2">
        <v>1059</v>
      </c>
      <c r="F235" s="2">
        <v>2012</v>
      </c>
      <c r="G235" s="2" t="s">
        <v>12</v>
      </c>
      <c r="H235" s="4">
        <v>40911</v>
      </c>
      <c r="I235" s="4">
        <v>40995</v>
      </c>
      <c r="J235" s="2" t="s">
        <v>21</v>
      </c>
      <c r="K235" s="2">
        <v>84</v>
      </c>
    </row>
    <row r="236" spans="1:11" ht="16.5" x14ac:dyDescent="0.3">
      <c r="A236" s="2" t="s">
        <v>119</v>
      </c>
      <c r="B236" s="2">
        <v>8.6300000000000008</v>
      </c>
      <c r="C236" s="2">
        <v>11</v>
      </c>
      <c r="D236" s="2">
        <v>95</v>
      </c>
      <c r="E236" s="2">
        <v>607</v>
      </c>
      <c r="F236" s="2">
        <v>2014</v>
      </c>
      <c r="G236" s="2" t="s">
        <v>12</v>
      </c>
      <c r="H236" s="4">
        <v>41740</v>
      </c>
      <c r="I236" s="4">
        <v>41810</v>
      </c>
      <c r="J236" s="2" t="s">
        <v>14</v>
      </c>
      <c r="K236" s="2">
        <v>70</v>
      </c>
    </row>
    <row r="237" spans="1:11" ht="16.5" x14ac:dyDescent="0.3">
      <c r="A237" s="2" t="s">
        <v>119</v>
      </c>
      <c r="B237" s="2">
        <v>8.6300000000000008</v>
      </c>
      <c r="C237" s="2">
        <v>11</v>
      </c>
      <c r="D237" s="2">
        <v>95</v>
      </c>
      <c r="E237" s="2">
        <v>607</v>
      </c>
      <c r="F237" s="2">
        <v>2014</v>
      </c>
      <c r="G237" s="2" t="s">
        <v>12</v>
      </c>
      <c r="H237" s="4">
        <v>41740</v>
      </c>
      <c r="I237" s="4">
        <v>41810</v>
      </c>
      <c r="J237" s="2" t="s">
        <v>15</v>
      </c>
      <c r="K237" s="2">
        <v>70</v>
      </c>
    </row>
    <row r="238" spans="1:11" ht="16.5" x14ac:dyDescent="0.3">
      <c r="A238" s="2" t="s">
        <v>119</v>
      </c>
      <c r="B238" s="2">
        <v>8.6300000000000008</v>
      </c>
      <c r="C238" s="2">
        <v>11</v>
      </c>
      <c r="D238" s="2">
        <v>95</v>
      </c>
      <c r="E238" s="2">
        <v>607</v>
      </c>
      <c r="F238" s="2">
        <v>2014</v>
      </c>
      <c r="G238" s="2" t="s">
        <v>12</v>
      </c>
      <c r="H238" s="4">
        <v>41740</v>
      </c>
      <c r="I238" s="4">
        <v>41810</v>
      </c>
      <c r="J238" s="2" t="s">
        <v>62</v>
      </c>
      <c r="K238" s="2">
        <v>70</v>
      </c>
    </row>
    <row r="239" spans="1:11" ht="16.5" x14ac:dyDescent="0.3">
      <c r="A239" s="2" t="s">
        <v>120</v>
      </c>
      <c r="B239" s="2">
        <v>8.6300000000000008</v>
      </c>
      <c r="C239" s="2">
        <v>13</v>
      </c>
      <c r="D239" s="2">
        <v>94</v>
      </c>
      <c r="E239" s="2">
        <v>505</v>
      </c>
      <c r="F239" s="2">
        <v>2021</v>
      </c>
      <c r="G239" s="2" t="s">
        <v>12</v>
      </c>
      <c r="H239" s="4">
        <v>44292</v>
      </c>
      <c r="I239" s="4">
        <v>44376</v>
      </c>
      <c r="J239" s="2" t="s">
        <v>14</v>
      </c>
      <c r="K239" s="2">
        <v>84</v>
      </c>
    </row>
    <row r="240" spans="1:11" ht="16.5" x14ac:dyDescent="0.3">
      <c r="A240" s="2" t="s">
        <v>120</v>
      </c>
      <c r="B240" s="2">
        <v>8.6300000000000008</v>
      </c>
      <c r="C240" s="2">
        <v>13</v>
      </c>
      <c r="D240" s="2">
        <v>94</v>
      </c>
      <c r="E240" s="2">
        <v>505</v>
      </c>
      <c r="F240" s="2">
        <v>2021</v>
      </c>
      <c r="G240" s="2" t="s">
        <v>12</v>
      </c>
      <c r="H240" s="4">
        <v>44292</v>
      </c>
      <c r="I240" s="4">
        <v>44376</v>
      </c>
      <c r="J240" s="2" t="s">
        <v>15</v>
      </c>
      <c r="K240" s="2">
        <v>84</v>
      </c>
    </row>
    <row r="241" spans="1:11" ht="16.5" x14ac:dyDescent="0.3">
      <c r="A241" s="2" t="s">
        <v>120</v>
      </c>
      <c r="B241" s="2">
        <v>8.6300000000000008</v>
      </c>
      <c r="C241" s="2">
        <v>13</v>
      </c>
      <c r="D241" s="2">
        <v>94</v>
      </c>
      <c r="E241" s="2">
        <v>505</v>
      </c>
      <c r="F241" s="2">
        <v>2021</v>
      </c>
      <c r="G241" s="2" t="s">
        <v>12</v>
      </c>
      <c r="H241" s="4">
        <v>44292</v>
      </c>
      <c r="I241" s="4">
        <v>44376</v>
      </c>
      <c r="J241" s="2" t="s">
        <v>20</v>
      </c>
      <c r="K241" s="2">
        <v>84</v>
      </c>
    </row>
    <row r="242" spans="1:11" ht="16.5" x14ac:dyDescent="0.3">
      <c r="A242" s="2" t="s">
        <v>120</v>
      </c>
      <c r="B242" s="2">
        <v>8.6300000000000008</v>
      </c>
      <c r="C242" s="2">
        <v>13</v>
      </c>
      <c r="D242" s="2">
        <v>94</v>
      </c>
      <c r="E242" s="2">
        <v>505</v>
      </c>
      <c r="F242" s="2">
        <v>2021</v>
      </c>
      <c r="G242" s="2" t="s">
        <v>12</v>
      </c>
      <c r="H242" s="4">
        <v>44292</v>
      </c>
      <c r="I242" s="4">
        <v>44376</v>
      </c>
      <c r="J242" s="2" t="s">
        <v>26</v>
      </c>
      <c r="K242" s="2">
        <v>84</v>
      </c>
    </row>
    <row r="243" spans="1:11" ht="16.5" x14ac:dyDescent="0.3">
      <c r="A243" s="2" t="s">
        <v>121</v>
      </c>
      <c r="B243" s="2">
        <v>8.6199999999999992</v>
      </c>
      <c r="C243" s="2">
        <v>1</v>
      </c>
      <c r="D243" s="2">
        <v>99</v>
      </c>
      <c r="E243" s="2">
        <v>1187</v>
      </c>
      <c r="F243" s="2">
        <v>2024</v>
      </c>
      <c r="G243" s="2" t="s">
        <v>12</v>
      </c>
      <c r="H243" s="4">
        <v>45471</v>
      </c>
      <c r="I243" s="2"/>
      <c r="J243" s="2" t="s">
        <v>14</v>
      </c>
      <c r="K243" s="2"/>
    </row>
    <row r="244" spans="1:11" ht="16.5" x14ac:dyDescent="0.3">
      <c r="A244" s="2" t="s">
        <v>121</v>
      </c>
      <c r="B244" s="2">
        <v>8.6199999999999992</v>
      </c>
      <c r="C244" s="2">
        <v>1</v>
      </c>
      <c r="D244" s="2">
        <v>99</v>
      </c>
      <c r="E244" s="2">
        <v>1187</v>
      </c>
      <c r="F244" s="2">
        <v>2024</v>
      </c>
      <c r="G244" s="2" t="s">
        <v>12</v>
      </c>
      <c r="H244" s="4">
        <v>45471</v>
      </c>
      <c r="I244" s="2"/>
      <c r="J244" s="2" t="s">
        <v>15</v>
      </c>
      <c r="K244" s="2"/>
    </row>
    <row r="245" spans="1:11" ht="16.5" x14ac:dyDescent="0.3">
      <c r="A245" s="2" t="s">
        <v>122</v>
      </c>
      <c r="B245" s="2">
        <v>8.6199999999999992</v>
      </c>
      <c r="C245" s="2">
        <v>13</v>
      </c>
      <c r="D245" s="2">
        <v>100</v>
      </c>
      <c r="E245" s="2">
        <v>92</v>
      </c>
      <c r="F245" s="2">
        <v>2017</v>
      </c>
      <c r="G245" s="2" t="s">
        <v>12</v>
      </c>
      <c r="H245" s="4">
        <v>42923</v>
      </c>
      <c r="I245" s="4">
        <v>43007</v>
      </c>
      <c r="J245" s="2" t="s">
        <v>13</v>
      </c>
      <c r="K245" s="2">
        <v>84</v>
      </c>
    </row>
    <row r="246" spans="1:11" ht="16.5" x14ac:dyDescent="0.3">
      <c r="A246" s="2" t="s">
        <v>122</v>
      </c>
      <c r="B246" s="2">
        <v>8.6199999999999992</v>
      </c>
      <c r="C246" s="2">
        <v>13</v>
      </c>
      <c r="D246" s="2">
        <v>100</v>
      </c>
      <c r="E246" s="2">
        <v>92</v>
      </c>
      <c r="F246" s="2">
        <v>2017</v>
      </c>
      <c r="G246" s="2" t="s">
        <v>12</v>
      </c>
      <c r="H246" s="4">
        <v>42923</v>
      </c>
      <c r="I246" s="4">
        <v>43007</v>
      </c>
      <c r="J246" s="2" t="s">
        <v>15</v>
      </c>
      <c r="K246" s="2">
        <v>84</v>
      </c>
    </row>
    <row r="247" spans="1:11" ht="16.5" x14ac:dyDescent="0.3">
      <c r="A247" s="2" t="s">
        <v>122</v>
      </c>
      <c r="B247" s="2">
        <v>8.6199999999999992</v>
      </c>
      <c r="C247" s="2">
        <v>13</v>
      </c>
      <c r="D247" s="2">
        <v>100</v>
      </c>
      <c r="E247" s="2">
        <v>92</v>
      </c>
      <c r="F247" s="2">
        <v>2017</v>
      </c>
      <c r="G247" s="2" t="s">
        <v>12</v>
      </c>
      <c r="H247" s="4">
        <v>42923</v>
      </c>
      <c r="I247" s="4">
        <v>43007</v>
      </c>
      <c r="J247" s="2" t="s">
        <v>16</v>
      </c>
      <c r="K247" s="2">
        <v>84</v>
      </c>
    </row>
    <row r="248" spans="1:11" ht="16.5" x14ac:dyDescent="0.3">
      <c r="A248" s="2" t="s">
        <v>122</v>
      </c>
      <c r="B248" s="2">
        <v>8.6199999999999992</v>
      </c>
      <c r="C248" s="2">
        <v>13</v>
      </c>
      <c r="D248" s="2">
        <v>100</v>
      </c>
      <c r="E248" s="2">
        <v>92</v>
      </c>
      <c r="F248" s="2">
        <v>2017</v>
      </c>
      <c r="G248" s="2" t="s">
        <v>12</v>
      </c>
      <c r="H248" s="4">
        <v>42923</v>
      </c>
      <c r="I248" s="4">
        <v>43007</v>
      </c>
      <c r="J248" s="2" t="s">
        <v>20</v>
      </c>
      <c r="K248" s="2">
        <v>84</v>
      </c>
    </row>
    <row r="249" spans="1:11" ht="16.5" x14ac:dyDescent="0.3">
      <c r="A249" s="2" t="s">
        <v>122</v>
      </c>
      <c r="B249" s="2">
        <v>8.6199999999999992</v>
      </c>
      <c r="C249" s="2">
        <v>13</v>
      </c>
      <c r="D249" s="2">
        <v>100</v>
      </c>
      <c r="E249" s="2">
        <v>92</v>
      </c>
      <c r="F249" s="2">
        <v>2017</v>
      </c>
      <c r="G249" s="2" t="s">
        <v>12</v>
      </c>
      <c r="H249" s="4">
        <v>42923</v>
      </c>
      <c r="I249" s="4">
        <v>43007</v>
      </c>
      <c r="J249" s="2" t="s">
        <v>25</v>
      </c>
      <c r="K249" s="2">
        <v>84</v>
      </c>
    </row>
    <row r="250" spans="1:11" ht="16.5" x14ac:dyDescent="0.3">
      <c r="A250" s="2" t="s">
        <v>123</v>
      </c>
      <c r="B250" s="2">
        <v>8.6199999999999992</v>
      </c>
      <c r="C250" s="2">
        <v>10</v>
      </c>
      <c r="D250" s="2">
        <v>96</v>
      </c>
      <c r="E250" s="2">
        <v>177</v>
      </c>
      <c r="F250" s="2">
        <v>2022</v>
      </c>
      <c r="G250" s="2" t="s">
        <v>12</v>
      </c>
      <c r="H250" s="4">
        <v>44817</v>
      </c>
      <c r="I250" s="2"/>
      <c r="J250" s="2" t="s">
        <v>19</v>
      </c>
      <c r="K250" s="2"/>
    </row>
    <row r="251" spans="1:11" ht="16.5" x14ac:dyDescent="0.3">
      <c r="A251" s="2" t="s">
        <v>123</v>
      </c>
      <c r="B251" s="2">
        <v>8.6199999999999992</v>
      </c>
      <c r="C251" s="2">
        <v>10</v>
      </c>
      <c r="D251" s="2">
        <v>96</v>
      </c>
      <c r="E251" s="2">
        <v>177</v>
      </c>
      <c r="F251" s="2">
        <v>2022</v>
      </c>
      <c r="G251" s="2" t="s">
        <v>12</v>
      </c>
      <c r="H251" s="4">
        <v>44817</v>
      </c>
      <c r="I251" s="2"/>
      <c r="J251" s="2" t="s">
        <v>25</v>
      </c>
      <c r="K251" s="2"/>
    </row>
    <row r="252" spans="1:11" ht="16.5" x14ac:dyDescent="0.3">
      <c r="A252" s="2" t="s">
        <v>124</v>
      </c>
      <c r="B252" s="2">
        <v>8.6199999999999992</v>
      </c>
      <c r="C252" s="2">
        <v>37</v>
      </c>
      <c r="D252" s="2">
        <v>97</v>
      </c>
      <c r="E252" s="2">
        <v>2</v>
      </c>
      <c r="F252" s="2">
        <v>2006</v>
      </c>
      <c r="G252" s="2" t="s">
        <v>12</v>
      </c>
      <c r="H252" s="4">
        <v>38994</v>
      </c>
      <c r="I252" s="4">
        <v>39260</v>
      </c>
      <c r="J252" s="2" t="s">
        <v>21</v>
      </c>
      <c r="K252" s="2">
        <v>266</v>
      </c>
    </row>
    <row r="253" spans="1:11" ht="16.5" x14ac:dyDescent="0.3">
      <c r="A253" s="2" t="s">
        <v>124</v>
      </c>
      <c r="B253" s="2">
        <v>8.6199999999999992</v>
      </c>
      <c r="C253" s="2">
        <v>37</v>
      </c>
      <c r="D253" s="2">
        <v>97</v>
      </c>
      <c r="E253" s="2">
        <v>2</v>
      </c>
      <c r="F253" s="2">
        <v>2006</v>
      </c>
      <c r="G253" s="2" t="s">
        <v>12</v>
      </c>
      <c r="H253" s="4">
        <v>38994</v>
      </c>
      <c r="I253" s="4">
        <v>39260</v>
      </c>
      <c r="J253" s="2" t="s">
        <v>26</v>
      </c>
      <c r="K253" s="2">
        <v>266</v>
      </c>
    </row>
    <row r="254" spans="1:11" ht="16.5" x14ac:dyDescent="0.3">
      <c r="A254" s="2" t="s">
        <v>125</v>
      </c>
      <c r="B254" s="2">
        <v>8.6199999999999992</v>
      </c>
      <c r="C254" s="2">
        <v>25</v>
      </c>
      <c r="D254" s="2">
        <v>98</v>
      </c>
      <c r="E254" s="2">
        <v>87</v>
      </c>
      <c r="F254" s="2">
        <v>2015</v>
      </c>
      <c r="G254" s="2" t="s">
        <v>12</v>
      </c>
      <c r="H254" s="4">
        <v>42281</v>
      </c>
      <c r="I254" s="4">
        <v>42456</v>
      </c>
      <c r="J254" s="2" t="s">
        <v>62</v>
      </c>
      <c r="K254" s="2">
        <v>175</v>
      </c>
    </row>
    <row r="255" spans="1:11" ht="16.5" x14ac:dyDescent="0.3">
      <c r="A255" s="2" t="s">
        <v>126</v>
      </c>
      <c r="B255" s="2">
        <v>8.6199999999999992</v>
      </c>
      <c r="C255" s="2">
        <v>12</v>
      </c>
      <c r="D255" s="2">
        <v>101</v>
      </c>
      <c r="E255" s="2">
        <v>1606</v>
      </c>
      <c r="F255" s="2">
        <v>2023</v>
      </c>
      <c r="G255" s="2" t="s">
        <v>12</v>
      </c>
      <c r="H255" s="4">
        <v>45121</v>
      </c>
      <c r="I255" s="4">
        <v>45191</v>
      </c>
      <c r="J255" s="2" t="s">
        <v>15</v>
      </c>
      <c r="K255" s="2">
        <v>70</v>
      </c>
    </row>
    <row r="256" spans="1:11" ht="16.5" x14ac:dyDescent="0.3">
      <c r="A256" s="2" t="s">
        <v>126</v>
      </c>
      <c r="B256" s="2">
        <v>8.6199999999999992</v>
      </c>
      <c r="C256" s="2">
        <v>12</v>
      </c>
      <c r="D256" s="2">
        <v>101</v>
      </c>
      <c r="E256" s="2">
        <v>1606</v>
      </c>
      <c r="F256" s="2">
        <v>2023</v>
      </c>
      <c r="G256" s="2" t="s">
        <v>12</v>
      </c>
      <c r="H256" s="4">
        <v>45121</v>
      </c>
      <c r="I256" s="4">
        <v>45191</v>
      </c>
      <c r="J256" s="2" t="s">
        <v>20</v>
      </c>
      <c r="K256" s="2">
        <v>70</v>
      </c>
    </row>
    <row r="257" spans="1:11" ht="16.5" x14ac:dyDescent="0.3">
      <c r="A257" s="2" t="s">
        <v>126</v>
      </c>
      <c r="B257" s="2">
        <v>8.6199999999999992</v>
      </c>
      <c r="C257" s="2">
        <v>12</v>
      </c>
      <c r="D257" s="2">
        <v>101</v>
      </c>
      <c r="E257" s="2">
        <v>1606</v>
      </c>
      <c r="F257" s="2">
        <v>2023</v>
      </c>
      <c r="G257" s="2" t="s">
        <v>12</v>
      </c>
      <c r="H257" s="4">
        <v>45121</v>
      </c>
      <c r="I257" s="4">
        <v>45191</v>
      </c>
      <c r="J257" s="2" t="s">
        <v>26</v>
      </c>
      <c r="K257" s="2">
        <v>70</v>
      </c>
    </row>
    <row r="258" spans="1:11" ht="16.5" x14ac:dyDescent="0.3">
      <c r="A258" s="2" t="s">
        <v>127</v>
      </c>
      <c r="B258" s="2">
        <v>8.61</v>
      </c>
      <c r="C258" s="2">
        <v>13</v>
      </c>
      <c r="D258" s="2">
        <v>103</v>
      </c>
      <c r="E258" s="2">
        <v>1399</v>
      </c>
      <c r="F258" s="2">
        <v>2025</v>
      </c>
      <c r="G258" s="2" t="s">
        <v>12</v>
      </c>
      <c r="H258" s="4">
        <v>45836</v>
      </c>
      <c r="I258" s="4">
        <v>45885</v>
      </c>
      <c r="J258" s="2" t="s">
        <v>19</v>
      </c>
      <c r="K258" s="2">
        <v>49</v>
      </c>
    </row>
    <row r="259" spans="1:11" ht="16.5" x14ac:dyDescent="0.3">
      <c r="A259" s="2" t="s">
        <v>127</v>
      </c>
      <c r="B259" s="2">
        <v>8.61</v>
      </c>
      <c r="C259" s="2">
        <v>13</v>
      </c>
      <c r="D259" s="2">
        <v>103</v>
      </c>
      <c r="E259" s="2">
        <v>1399</v>
      </c>
      <c r="F259" s="2">
        <v>2025</v>
      </c>
      <c r="G259" s="2" t="s">
        <v>12</v>
      </c>
      <c r="H259" s="4">
        <v>45836</v>
      </c>
      <c r="I259" s="4">
        <v>45885</v>
      </c>
      <c r="J259" s="2" t="s">
        <v>16</v>
      </c>
      <c r="K259" s="2">
        <v>49</v>
      </c>
    </row>
    <row r="260" spans="1:11" ht="16.5" x14ac:dyDescent="0.3">
      <c r="A260" s="2" t="s">
        <v>127</v>
      </c>
      <c r="B260" s="2">
        <v>8.61</v>
      </c>
      <c r="C260" s="2">
        <v>13</v>
      </c>
      <c r="D260" s="2">
        <v>103</v>
      </c>
      <c r="E260" s="2">
        <v>1399</v>
      </c>
      <c r="F260" s="2">
        <v>2025</v>
      </c>
      <c r="G260" s="2" t="s">
        <v>12</v>
      </c>
      <c r="H260" s="4">
        <v>45836</v>
      </c>
      <c r="I260" s="4">
        <v>45885</v>
      </c>
      <c r="J260" s="2" t="s">
        <v>20</v>
      </c>
      <c r="K260" s="2">
        <v>49</v>
      </c>
    </row>
    <row r="261" spans="1:11" ht="16.5" x14ac:dyDescent="0.3">
      <c r="A261" s="2" t="s">
        <v>127</v>
      </c>
      <c r="B261" s="2">
        <v>8.61</v>
      </c>
      <c r="C261" s="2">
        <v>13</v>
      </c>
      <c r="D261" s="2">
        <v>103</v>
      </c>
      <c r="E261" s="2">
        <v>1399</v>
      </c>
      <c r="F261" s="2">
        <v>2025</v>
      </c>
      <c r="G261" s="2" t="s">
        <v>12</v>
      </c>
      <c r="H261" s="4">
        <v>45836</v>
      </c>
      <c r="I261" s="4">
        <v>45885</v>
      </c>
      <c r="J261" s="2" t="s">
        <v>26</v>
      </c>
      <c r="K261" s="2">
        <v>49</v>
      </c>
    </row>
    <row r="262" spans="1:11" ht="16.5" x14ac:dyDescent="0.3">
      <c r="A262" s="2" t="s">
        <v>128</v>
      </c>
      <c r="B262" s="2">
        <v>8.61</v>
      </c>
      <c r="C262" s="2">
        <v>11</v>
      </c>
      <c r="D262" s="2">
        <v>102</v>
      </c>
      <c r="E262" s="2">
        <v>1089</v>
      </c>
      <c r="F262" s="2">
        <v>2023</v>
      </c>
      <c r="G262" s="2" t="s">
        <v>12</v>
      </c>
      <c r="H262" s="4">
        <v>45119</v>
      </c>
      <c r="I262" s="4">
        <v>45189</v>
      </c>
      <c r="J262" s="2" t="s">
        <v>19</v>
      </c>
      <c r="K262" s="2">
        <v>70</v>
      </c>
    </row>
    <row r="263" spans="1:11" ht="16.5" x14ac:dyDescent="0.3">
      <c r="A263" s="2" t="s">
        <v>128</v>
      </c>
      <c r="B263" s="2">
        <v>8.61</v>
      </c>
      <c r="C263" s="2">
        <v>11</v>
      </c>
      <c r="D263" s="2">
        <v>102</v>
      </c>
      <c r="E263" s="2">
        <v>1089</v>
      </c>
      <c r="F263" s="2">
        <v>2023</v>
      </c>
      <c r="G263" s="2" t="s">
        <v>12</v>
      </c>
      <c r="H263" s="4">
        <v>45119</v>
      </c>
      <c r="I263" s="4">
        <v>45189</v>
      </c>
      <c r="J263" s="2" t="s">
        <v>20</v>
      </c>
      <c r="K263" s="2">
        <v>70</v>
      </c>
    </row>
    <row r="264" spans="1:11" ht="16.5" x14ac:dyDescent="0.3">
      <c r="A264" s="2" t="s">
        <v>129</v>
      </c>
      <c r="B264" s="2">
        <v>8.61</v>
      </c>
      <c r="C264" s="2">
        <v>1</v>
      </c>
      <c r="D264" s="2">
        <v>104</v>
      </c>
      <c r="E264" s="2">
        <v>1253</v>
      </c>
      <c r="F264" s="2">
        <v>2024</v>
      </c>
      <c r="G264" s="2" t="s">
        <v>12</v>
      </c>
      <c r="H264" s="4">
        <v>45338</v>
      </c>
      <c r="I264" s="2"/>
      <c r="J264" s="2" t="s">
        <v>62</v>
      </c>
      <c r="K264" s="2"/>
    </row>
    <row r="265" spans="1:11" ht="16.5" x14ac:dyDescent="0.3">
      <c r="A265" s="2" t="s">
        <v>130</v>
      </c>
      <c r="B265" s="2">
        <v>8.61</v>
      </c>
      <c r="C265" s="2">
        <v>11</v>
      </c>
      <c r="D265" s="2">
        <v>109</v>
      </c>
      <c r="E265" s="2">
        <v>1353</v>
      </c>
      <c r="F265" s="2">
        <v>2017</v>
      </c>
      <c r="G265" s="2" t="s">
        <v>12</v>
      </c>
      <c r="H265" s="4">
        <v>42837</v>
      </c>
      <c r="I265" s="4">
        <v>42907</v>
      </c>
      <c r="J265" s="2" t="s">
        <v>84</v>
      </c>
      <c r="K265" s="2">
        <v>70</v>
      </c>
    </row>
    <row r="266" spans="1:11" ht="16.5" x14ac:dyDescent="0.3">
      <c r="A266" s="2" t="s">
        <v>130</v>
      </c>
      <c r="B266" s="2">
        <v>8.61</v>
      </c>
      <c r="C266" s="2">
        <v>11</v>
      </c>
      <c r="D266" s="2">
        <v>109</v>
      </c>
      <c r="E266" s="2">
        <v>1353</v>
      </c>
      <c r="F266" s="2">
        <v>2017</v>
      </c>
      <c r="G266" s="2" t="s">
        <v>12</v>
      </c>
      <c r="H266" s="4">
        <v>42837</v>
      </c>
      <c r="I266" s="4">
        <v>42907</v>
      </c>
      <c r="J266" s="2" t="s">
        <v>21</v>
      </c>
      <c r="K266" s="2">
        <v>70</v>
      </c>
    </row>
    <row r="267" spans="1:11" ht="16.5" x14ac:dyDescent="0.3">
      <c r="A267" s="2" t="s">
        <v>131</v>
      </c>
      <c r="B267" s="2">
        <v>8.61</v>
      </c>
      <c r="C267" s="2">
        <v>1</v>
      </c>
      <c r="D267" s="2">
        <v>110</v>
      </c>
      <c r="E267" s="2">
        <v>1182</v>
      </c>
      <c r="F267" s="2">
        <v>2009</v>
      </c>
      <c r="G267" s="2" t="s">
        <v>12</v>
      </c>
      <c r="H267" s="4">
        <v>39925</v>
      </c>
      <c r="I267" s="2"/>
      <c r="J267" s="2" t="s">
        <v>25</v>
      </c>
      <c r="K267" s="2"/>
    </row>
    <row r="268" spans="1:11" ht="16.5" x14ac:dyDescent="0.3">
      <c r="A268" s="2" t="s">
        <v>132</v>
      </c>
      <c r="B268" s="2">
        <v>8.61</v>
      </c>
      <c r="C268" s="2">
        <v>12</v>
      </c>
      <c r="D268" s="2">
        <v>106</v>
      </c>
      <c r="E268" s="2">
        <v>96</v>
      </c>
      <c r="F268" s="2">
        <v>2020</v>
      </c>
      <c r="G268" s="2" t="s">
        <v>12</v>
      </c>
      <c r="H268" s="4">
        <v>43932</v>
      </c>
      <c r="I268" s="4">
        <v>44009</v>
      </c>
      <c r="J268" s="2" t="s">
        <v>29</v>
      </c>
      <c r="K268" s="2">
        <v>77</v>
      </c>
    </row>
    <row r="269" spans="1:11" ht="16.5" x14ac:dyDescent="0.3">
      <c r="A269" s="2" t="s">
        <v>132</v>
      </c>
      <c r="B269" s="2">
        <v>8.61</v>
      </c>
      <c r="C269" s="2">
        <v>12</v>
      </c>
      <c r="D269" s="2">
        <v>106</v>
      </c>
      <c r="E269" s="2">
        <v>96</v>
      </c>
      <c r="F269" s="2">
        <v>2020</v>
      </c>
      <c r="G269" s="2" t="s">
        <v>12</v>
      </c>
      <c r="H269" s="4">
        <v>43932</v>
      </c>
      <c r="I269" s="4">
        <v>44009</v>
      </c>
      <c r="J269" s="2" t="s">
        <v>40</v>
      </c>
      <c r="K269" s="2">
        <v>77</v>
      </c>
    </row>
    <row r="270" spans="1:11" ht="16.5" x14ac:dyDescent="0.3">
      <c r="A270" s="2" t="s">
        <v>133</v>
      </c>
      <c r="B270" s="2">
        <v>8.61</v>
      </c>
      <c r="C270" s="2">
        <v>12</v>
      </c>
      <c r="D270" s="2">
        <v>108</v>
      </c>
      <c r="E270" s="2">
        <v>160</v>
      </c>
      <c r="F270" s="2">
        <v>2021</v>
      </c>
      <c r="G270" s="2" t="s">
        <v>12</v>
      </c>
      <c r="H270" s="4">
        <v>44473</v>
      </c>
      <c r="I270" s="4">
        <v>44550</v>
      </c>
      <c r="J270" s="2" t="s">
        <v>13</v>
      </c>
      <c r="K270" s="2">
        <v>77</v>
      </c>
    </row>
    <row r="271" spans="1:11" ht="16.5" x14ac:dyDescent="0.3">
      <c r="A271" s="2" t="s">
        <v>133</v>
      </c>
      <c r="B271" s="2">
        <v>8.61</v>
      </c>
      <c r="C271" s="2">
        <v>12</v>
      </c>
      <c r="D271" s="2">
        <v>108</v>
      </c>
      <c r="E271" s="2">
        <v>160</v>
      </c>
      <c r="F271" s="2">
        <v>2021</v>
      </c>
      <c r="G271" s="2" t="s">
        <v>12</v>
      </c>
      <c r="H271" s="4">
        <v>44473</v>
      </c>
      <c r="I271" s="4">
        <v>44550</v>
      </c>
      <c r="J271" s="2" t="s">
        <v>15</v>
      </c>
      <c r="K271" s="2">
        <v>77</v>
      </c>
    </row>
    <row r="272" spans="1:11" ht="16.5" x14ac:dyDescent="0.3">
      <c r="A272" s="2" t="s">
        <v>133</v>
      </c>
      <c r="B272" s="2">
        <v>8.61</v>
      </c>
      <c r="C272" s="2">
        <v>12</v>
      </c>
      <c r="D272" s="2">
        <v>108</v>
      </c>
      <c r="E272" s="2">
        <v>160</v>
      </c>
      <c r="F272" s="2">
        <v>2021</v>
      </c>
      <c r="G272" s="2" t="s">
        <v>12</v>
      </c>
      <c r="H272" s="4">
        <v>44473</v>
      </c>
      <c r="I272" s="4">
        <v>44550</v>
      </c>
      <c r="J272" s="2" t="s">
        <v>16</v>
      </c>
      <c r="K272" s="2">
        <v>77</v>
      </c>
    </row>
    <row r="273" spans="1:11" ht="16.5" x14ac:dyDescent="0.3">
      <c r="A273" s="2" t="s">
        <v>133</v>
      </c>
      <c r="B273" s="2">
        <v>8.61</v>
      </c>
      <c r="C273" s="2">
        <v>12</v>
      </c>
      <c r="D273" s="2">
        <v>108</v>
      </c>
      <c r="E273" s="2">
        <v>160</v>
      </c>
      <c r="F273" s="2">
        <v>2021</v>
      </c>
      <c r="G273" s="2" t="s">
        <v>12</v>
      </c>
      <c r="H273" s="4">
        <v>44473</v>
      </c>
      <c r="I273" s="4">
        <v>44550</v>
      </c>
      <c r="J273" s="2" t="s">
        <v>134</v>
      </c>
      <c r="K273" s="2">
        <v>77</v>
      </c>
    </row>
    <row r="274" spans="1:11" ht="16.5" x14ac:dyDescent="0.3">
      <c r="A274" s="2" t="s">
        <v>135</v>
      </c>
      <c r="B274" s="2">
        <v>8.61</v>
      </c>
      <c r="C274" s="2">
        <v>25</v>
      </c>
      <c r="D274" s="2">
        <v>105</v>
      </c>
      <c r="E274" s="2">
        <v>935</v>
      </c>
      <c r="F274" s="2">
        <v>2013</v>
      </c>
      <c r="G274" s="2" t="s">
        <v>12</v>
      </c>
      <c r="H274" s="4">
        <v>41553</v>
      </c>
      <c r="I274" s="4">
        <v>41728</v>
      </c>
      <c r="J274" s="2" t="s">
        <v>62</v>
      </c>
      <c r="K274" s="2">
        <v>175</v>
      </c>
    </row>
    <row r="275" spans="1:11" ht="16.5" x14ac:dyDescent="0.3">
      <c r="A275" s="2" t="s">
        <v>136</v>
      </c>
      <c r="B275" s="2">
        <v>8.61</v>
      </c>
      <c r="C275" s="2">
        <v>25</v>
      </c>
      <c r="D275" s="2">
        <v>107</v>
      </c>
      <c r="E275" s="2">
        <v>303</v>
      </c>
      <c r="F275" s="2">
        <v>1997</v>
      </c>
      <c r="G275" s="2" t="s">
        <v>12</v>
      </c>
      <c r="H275" s="4">
        <v>35711</v>
      </c>
      <c r="I275" s="4">
        <v>35886</v>
      </c>
      <c r="J275" s="2" t="s">
        <v>19</v>
      </c>
      <c r="K275" s="2">
        <v>175</v>
      </c>
    </row>
    <row r="276" spans="1:11" ht="16.5" x14ac:dyDescent="0.3">
      <c r="A276" s="2" t="s">
        <v>136</v>
      </c>
      <c r="B276" s="2">
        <v>8.61</v>
      </c>
      <c r="C276" s="2">
        <v>25</v>
      </c>
      <c r="D276" s="2">
        <v>107</v>
      </c>
      <c r="E276" s="2">
        <v>303</v>
      </c>
      <c r="F276" s="2">
        <v>1997</v>
      </c>
      <c r="G276" s="2" t="s">
        <v>12</v>
      </c>
      <c r="H276" s="4">
        <v>35711</v>
      </c>
      <c r="I276" s="4">
        <v>35886</v>
      </c>
      <c r="J276" s="2" t="s">
        <v>13</v>
      </c>
      <c r="K276" s="2">
        <v>175</v>
      </c>
    </row>
    <row r="277" spans="1:11" ht="16.5" x14ac:dyDescent="0.3">
      <c r="A277" s="2" t="s">
        <v>136</v>
      </c>
      <c r="B277" s="2">
        <v>8.61</v>
      </c>
      <c r="C277" s="2">
        <v>25</v>
      </c>
      <c r="D277" s="2">
        <v>107</v>
      </c>
      <c r="E277" s="2">
        <v>303</v>
      </c>
      <c r="F277" s="2">
        <v>1997</v>
      </c>
      <c r="G277" s="2" t="s">
        <v>12</v>
      </c>
      <c r="H277" s="4">
        <v>35711</v>
      </c>
      <c r="I277" s="4">
        <v>35886</v>
      </c>
      <c r="J277" s="2" t="s">
        <v>15</v>
      </c>
      <c r="K277" s="2">
        <v>175</v>
      </c>
    </row>
    <row r="278" spans="1:11" ht="16.5" x14ac:dyDescent="0.3">
      <c r="A278" s="2" t="s">
        <v>136</v>
      </c>
      <c r="B278" s="2">
        <v>8.61</v>
      </c>
      <c r="C278" s="2">
        <v>25</v>
      </c>
      <c r="D278" s="2">
        <v>107</v>
      </c>
      <c r="E278" s="2">
        <v>303</v>
      </c>
      <c r="F278" s="2">
        <v>1997</v>
      </c>
      <c r="G278" s="2" t="s">
        <v>12</v>
      </c>
      <c r="H278" s="4">
        <v>35711</v>
      </c>
      <c r="I278" s="4">
        <v>35886</v>
      </c>
      <c r="J278" s="2" t="s">
        <v>16</v>
      </c>
      <c r="K278" s="2">
        <v>175</v>
      </c>
    </row>
    <row r="279" spans="1:11" ht="16.5" x14ac:dyDescent="0.3">
      <c r="A279" s="2" t="s">
        <v>136</v>
      </c>
      <c r="B279" s="2">
        <v>8.61</v>
      </c>
      <c r="C279" s="2">
        <v>25</v>
      </c>
      <c r="D279" s="2">
        <v>107</v>
      </c>
      <c r="E279" s="2">
        <v>303</v>
      </c>
      <c r="F279" s="2">
        <v>1997</v>
      </c>
      <c r="G279" s="2" t="s">
        <v>12</v>
      </c>
      <c r="H279" s="4">
        <v>35711</v>
      </c>
      <c r="I279" s="4">
        <v>35886</v>
      </c>
      <c r="J279" s="2" t="s">
        <v>137</v>
      </c>
      <c r="K279" s="2">
        <v>175</v>
      </c>
    </row>
    <row r="280" spans="1:11" ht="16.5" x14ac:dyDescent="0.3">
      <c r="A280" s="2" t="s">
        <v>138</v>
      </c>
      <c r="B280" s="2">
        <v>8.6</v>
      </c>
      <c r="C280" s="2">
        <v>1</v>
      </c>
      <c r="D280" s="2">
        <v>111</v>
      </c>
      <c r="E280" s="2">
        <v>468</v>
      </c>
      <c r="F280" s="2">
        <v>2020</v>
      </c>
      <c r="G280" s="2" t="s">
        <v>12</v>
      </c>
      <c r="H280" s="4">
        <v>43847</v>
      </c>
      <c r="I280" s="2"/>
      <c r="J280" s="2" t="s">
        <v>13</v>
      </c>
      <c r="K280" s="2"/>
    </row>
    <row r="281" spans="1:11" ht="16.5" x14ac:dyDescent="0.3">
      <c r="A281" s="2" t="s">
        <v>138</v>
      </c>
      <c r="B281" s="2">
        <v>8.6</v>
      </c>
      <c r="C281" s="2">
        <v>1</v>
      </c>
      <c r="D281" s="2">
        <v>111</v>
      </c>
      <c r="E281" s="2">
        <v>468</v>
      </c>
      <c r="F281" s="2">
        <v>2020</v>
      </c>
      <c r="G281" s="2" t="s">
        <v>12</v>
      </c>
      <c r="H281" s="4">
        <v>43847</v>
      </c>
      <c r="I281" s="2"/>
      <c r="J281" s="2" t="s">
        <v>15</v>
      </c>
      <c r="K281" s="2"/>
    </row>
    <row r="282" spans="1:11" ht="16.5" x14ac:dyDescent="0.3">
      <c r="A282" s="2" t="s">
        <v>138</v>
      </c>
      <c r="B282" s="2">
        <v>8.6</v>
      </c>
      <c r="C282" s="2">
        <v>1</v>
      </c>
      <c r="D282" s="2">
        <v>111</v>
      </c>
      <c r="E282" s="2">
        <v>468</v>
      </c>
      <c r="F282" s="2">
        <v>2020</v>
      </c>
      <c r="G282" s="2" t="s">
        <v>12</v>
      </c>
      <c r="H282" s="4">
        <v>43847</v>
      </c>
      <c r="I282" s="2"/>
      <c r="J282" s="2" t="s">
        <v>16</v>
      </c>
      <c r="K282" s="2"/>
    </row>
    <row r="283" spans="1:11" ht="16.5" x14ac:dyDescent="0.3">
      <c r="A283" s="2" t="s">
        <v>138</v>
      </c>
      <c r="B283" s="2">
        <v>8.6</v>
      </c>
      <c r="C283" s="2">
        <v>1</v>
      </c>
      <c r="D283" s="2">
        <v>111</v>
      </c>
      <c r="E283" s="2">
        <v>468</v>
      </c>
      <c r="F283" s="2">
        <v>2020</v>
      </c>
      <c r="G283" s="2" t="s">
        <v>12</v>
      </c>
      <c r="H283" s="4">
        <v>43847</v>
      </c>
      <c r="I283" s="2"/>
      <c r="J283" s="2" t="s">
        <v>20</v>
      </c>
      <c r="K283" s="2"/>
    </row>
    <row r="284" spans="1:11" ht="16.5" x14ac:dyDescent="0.3">
      <c r="A284" s="2" t="s">
        <v>138</v>
      </c>
      <c r="B284" s="2">
        <v>8.6</v>
      </c>
      <c r="C284" s="2">
        <v>1</v>
      </c>
      <c r="D284" s="2">
        <v>111</v>
      </c>
      <c r="E284" s="2">
        <v>468</v>
      </c>
      <c r="F284" s="2">
        <v>2020</v>
      </c>
      <c r="G284" s="2" t="s">
        <v>12</v>
      </c>
      <c r="H284" s="4">
        <v>43847</v>
      </c>
      <c r="I284" s="2"/>
      <c r="J284" s="2" t="s">
        <v>25</v>
      </c>
      <c r="K284" s="2"/>
    </row>
    <row r="285" spans="1:11" ht="16.5" x14ac:dyDescent="0.3">
      <c r="A285" s="2" t="s">
        <v>139</v>
      </c>
      <c r="B285" s="2">
        <v>8.6</v>
      </c>
      <c r="C285" s="2">
        <v>12</v>
      </c>
      <c r="D285" s="2">
        <v>112</v>
      </c>
      <c r="E285" s="2">
        <v>466</v>
      </c>
      <c r="F285" s="2">
        <v>2022</v>
      </c>
      <c r="G285" s="2" t="s">
        <v>12</v>
      </c>
      <c r="H285" s="4">
        <v>44748</v>
      </c>
      <c r="I285" s="4">
        <v>44832</v>
      </c>
      <c r="J285" s="2" t="s">
        <v>13</v>
      </c>
      <c r="K285" s="2">
        <v>84</v>
      </c>
    </row>
    <row r="286" spans="1:11" ht="16.5" x14ac:dyDescent="0.3">
      <c r="A286" s="2" t="s">
        <v>139</v>
      </c>
      <c r="B286" s="2">
        <v>8.6</v>
      </c>
      <c r="C286" s="2">
        <v>12</v>
      </c>
      <c r="D286" s="2">
        <v>112</v>
      </c>
      <c r="E286" s="2">
        <v>466</v>
      </c>
      <c r="F286" s="2">
        <v>2022</v>
      </c>
      <c r="G286" s="2" t="s">
        <v>12</v>
      </c>
      <c r="H286" s="4">
        <v>44748</v>
      </c>
      <c r="I286" s="4">
        <v>44832</v>
      </c>
      <c r="J286" s="2" t="s">
        <v>15</v>
      </c>
      <c r="K286" s="2">
        <v>84</v>
      </c>
    </row>
    <row r="287" spans="1:11" ht="16.5" x14ac:dyDescent="0.3">
      <c r="A287" s="2" t="s">
        <v>139</v>
      </c>
      <c r="B287" s="2">
        <v>8.6</v>
      </c>
      <c r="C287" s="2">
        <v>12</v>
      </c>
      <c r="D287" s="2">
        <v>112</v>
      </c>
      <c r="E287" s="2">
        <v>466</v>
      </c>
      <c r="F287" s="2">
        <v>2022</v>
      </c>
      <c r="G287" s="2" t="s">
        <v>12</v>
      </c>
      <c r="H287" s="4">
        <v>44748</v>
      </c>
      <c r="I287" s="4">
        <v>44832</v>
      </c>
      <c r="J287" s="2" t="s">
        <v>16</v>
      </c>
      <c r="K287" s="2">
        <v>84</v>
      </c>
    </row>
    <row r="288" spans="1:11" ht="16.5" x14ac:dyDescent="0.3">
      <c r="A288" s="2" t="s">
        <v>139</v>
      </c>
      <c r="B288" s="2">
        <v>8.6</v>
      </c>
      <c r="C288" s="2">
        <v>12</v>
      </c>
      <c r="D288" s="2">
        <v>112</v>
      </c>
      <c r="E288" s="2">
        <v>466</v>
      </c>
      <c r="F288" s="2">
        <v>2022</v>
      </c>
      <c r="G288" s="2" t="s">
        <v>12</v>
      </c>
      <c r="H288" s="4">
        <v>44748</v>
      </c>
      <c r="I288" s="4">
        <v>44832</v>
      </c>
      <c r="J288" s="2" t="s">
        <v>20</v>
      </c>
      <c r="K288" s="2">
        <v>84</v>
      </c>
    </row>
    <row r="289" spans="1:11" ht="16.5" x14ac:dyDescent="0.3">
      <c r="A289" s="2" t="s">
        <v>139</v>
      </c>
      <c r="B289" s="2">
        <v>8.6</v>
      </c>
      <c r="C289" s="2">
        <v>12</v>
      </c>
      <c r="D289" s="2">
        <v>112</v>
      </c>
      <c r="E289" s="2">
        <v>466</v>
      </c>
      <c r="F289" s="2">
        <v>2022</v>
      </c>
      <c r="G289" s="2" t="s">
        <v>12</v>
      </c>
      <c r="H289" s="4">
        <v>44748</v>
      </c>
      <c r="I289" s="4">
        <v>44832</v>
      </c>
      <c r="J289" s="2" t="s">
        <v>25</v>
      </c>
      <c r="K289" s="2">
        <v>84</v>
      </c>
    </row>
    <row r="290" spans="1:11" ht="16.5" x14ac:dyDescent="0.3">
      <c r="A290" s="2" t="s">
        <v>140</v>
      </c>
      <c r="B290" s="2">
        <v>8.59</v>
      </c>
      <c r="C290" s="2">
        <v>24</v>
      </c>
      <c r="D290" s="2">
        <v>114</v>
      </c>
      <c r="E290" s="2">
        <v>435</v>
      </c>
      <c r="F290" s="2">
        <v>2024</v>
      </c>
      <c r="G290" s="2" t="s">
        <v>12</v>
      </c>
      <c r="H290" s="4">
        <v>45295</v>
      </c>
      <c r="I290" s="4">
        <v>45456</v>
      </c>
      <c r="J290" s="2" t="s">
        <v>13</v>
      </c>
      <c r="K290" s="2">
        <v>161</v>
      </c>
    </row>
    <row r="291" spans="1:11" ht="16.5" x14ac:dyDescent="0.3">
      <c r="A291" s="2" t="s">
        <v>140</v>
      </c>
      <c r="B291" s="2">
        <v>8.59</v>
      </c>
      <c r="C291" s="2">
        <v>24</v>
      </c>
      <c r="D291" s="2">
        <v>114</v>
      </c>
      <c r="E291" s="2">
        <v>435</v>
      </c>
      <c r="F291" s="2">
        <v>2024</v>
      </c>
      <c r="G291" s="2" t="s">
        <v>12</v>
      </c>
      <c r="H291" s="4">
        <v>45295</v>
      </c>
      <c r="I291" s="4">
        <v>45456</v>
      </c>
      <c r="J291" s="2" t="s">
        <v>29</v>
      </c>
      <c r="K291" s="2">
        <v>161</v>
      </c>
    </row>
    <row r="292" spans="1:11" ht="16.5" x14ac:dyDescent="0.3">
      <c r="A292" s="2" t="s">
        <v>140</v>
      </c>
      <c r="B292" s="2">
        <v>8.59</v>
      </c>
      <c r="C292" s="2">
        <v>24</v>
      </c>
      <c r="D292" s="2">
        <v>114</v>
      </c>
      <c r="E292" s="2">
        <v>435</v>
      </c>
      <c r="F292" s="2">
        <v>2024</v>
      </c>
      <c r="G292" s="2" t="s">
        <v>12</v>
      </c>
      <c r="H292" s="4">
        <v>45295</v>
      </c>
      <c r="I292" s="4">
        <v>45456</v>
      </c>
      <c r="J292" s="2" t="s">
        <v>16</v>
      </c>
      <c r="K292" s="2">
        <v>161</v>
      </c>
    </row>
    <row r="293" spans="1:11" ht="16.5" x14ac:dyDescent="0.3">
      <c r="A293" s="2" t="s">
        <v>140</v>
      </c>
      <c r="B293" s="2">
        <v>8.59</v>
      </c>
      <c r="C293" s="2">
        <v>24</v>
      </c>
      <c r="D293" s="2">
        <v>114</v>
      </c>
      <c r="E293" s="2">
        <v>435</v>
      </c>
      <c r="F293" s="2">
        <v>2024</v>
      </c>
      <c r="G293" s="2" t="s">
        <v>12</v>
      </c>
      <c r="H293" s="4">
        <v>45295</v>
      </c>
      <c r="I293" s="4">
        <v>45456</v>
      </c>
      <c r="J293" s="2" t="s">
        <v>141</v>
      </c>
      <c r="K293" s="2">
        <v>161</v>
      </c>
    </row>
    <row r="294" spans="1:11" ht="16.5" x14ac:dyDescent="0.3">
      <c r="A294" s="2" t="s">
        <v>142</v>
      </c>
      <c r="B294" s="2">
        <v>8.59</v>
      </c>
      <c r="C294" s="2"/>
      <c r="D294" s="2">
        <v>113</v>
      </c>
      <c r="E294" s="2">
        <v>5543</v>
      </c>
      <c r="F294" s="2">
        <v>2022</v>
      </c>
      <c r="G294" s="2" t="s">
        <v>18</v>
      </c>
      <c r="H294" s="4">
        <v>44655</v>
      </c>
      <c r="I294" s="2"/>
      <c r="J294" s="2" t="s">
        <v>84</v>
      </c>
      <c r="K294" s="2"/>
    </row>
    <row r="295" spans="1:11" ht="16.5" x14ac:dyDescent="0.3">
      <c r="A295" s="2" t="s">
        <v>143</v>
      </c>
      <c r="B295" s="2">
        <v>8.59</v>
      </c>
      <c r="C295" s="2">
        <v>1</v>
      </c>
      <c r="D295" s="2">
        <v>115</v>
      </c>
      <c r="E295" s="2">
        <v>274</v>
      </c>
      <c r="F295" s="2">
        <v>2019</v>
      </c>
      <c r="G295" s="2" t="s">
        <v>12</v>
      </c>
      <c r="H295" s="4">
        <v>43631</v>
      </c>
      <c r="I295" s="2"/>
      <c r="J295" s="2" t="s">
        <v>15</v>
      </c>
      <c r="K295" s="2"/>
    </row>
    <row r="296" spans="1:11" ht="16.5" x14ac:dyDescent="0.3">
      <c r="A296" s="2" t="s">
        <v>143</v>
      </c>
      <c r="B296" s="2">
        <v>8.59</v>
      </c>
      <c r="C296" s="2">
        <v>1</v>
      </c>
      <c r="D296" s="2">
        <v>115</v>
      </c>
      <c r="E296" s="2">
        <v>274</v>
      </c>
      <c r="F296" s="2">
        <v>2019</v>
      </c>
      <c r="G296" s="2" t="s">
        <v>12</v>
      </c>
      <c r="H296" s="4">
        <v>43631</v>
      </c>
      <c r="I296" s="2"/>
      <c r="J296" s="2" t="s">
        <v>40</v>
      </c>
      <c r="K296" s="2"/>
    </row>
    <row r="297" spans="1:11" ht="16.5" x14ac:dyDescent="0.3">
      <c r="A297" s="2" t="s">
        <v>143</v>
      </c>
      <c r="B297" s="2">
        <v>8.59</v>
      </c>
      <c r="C297" s="2">
        <v>1</v>
      </c>
      <c r="D297" s="2">
        <v>115</v>
      </c>
      <c r="E297" s="2">
        <v>274</v>
      </c>
      <c r="F297" s="2">
        <v>2019</v>
      </c>
      <c r="G297" s="2" t="s">
        <v>12</v>
      </c>
      <c r="H297" s="4">
        <v>43631</v>
      </c>
      <c r="I297" s="2"/>
      <c r="J297" s="2" t="s">
        <v>21</v>
      </c>
      <c r="K297" s="2"/>
    </row>
    <row r="298" spans="1:11" ht="16.5" x14ac:dyDescent="0.3">
      <c r="A298" s="2" t="s">
        <v>144</v>
      </c>
      <c r="B298" s="2">
        <v>8.59</v>
      </c>
      <c r="C298" s="2">
        <v>1</v>
      </c>
      <c r="D298" s="2">
        <v>116</v>
      </c>
      <c r="E298" s="2">
        <v>377</v>
      </c>
      <c r="F298" s="2">
        <v>2010</v>
      </c>
      <c r="G298" s="2" t="s">
        <v>12</v>
      </c>
      <c r="H298" s="4">
        <v>40215</v>
      </c>
      <c r="I298" s="2"/>
      <c r="J298" s="2" t="s">
        <v>14</v>
      </c>
      <c r="K298" s="2"/>
    </row>
    <row r="299" spans="1:11" ht="16.5" x14ac:dyDescent="0.3">
      <c r="A299" s="2" t="s">
        <v>144</v>
      </c>
      <c r="B299" s="2">
        <v>8.59</v>
      </c>
      <c r="C299" s="2">
        <v>1</v>
      </c>
      <c r="D299" s="2">
        <v>116</v>
      </c>
      <c r="E299" s="2">
        <v>377</v>
      </c>
      <c r="F299" s="2">
        <v>2010</v>
      </c>
      <c r="G299" s="2" t="s">
        <v>12</v>
      </c>
      <c r="H299" s="4">
        <v>40215</v>
      </c>
      <c r="I299" s="2"/>
      <c r="J299" s="2" t="s">
        <v>20</v>
      </c>
      <c r="K299" s="2"/>
    </row>
    <row r="300" spans="1:11" ht="16.5" x14ac:dyDescent="0.3">
      <c r="A300" s="2" t="s">
        <v>144</v>
      </c>
      <c r="B300" s="2">
        <v>8.59</v>
      </c>
      <c r="C300" s="2">
        <v>1</v>
      </c>
      <c r="D300" s="2">
        <v>116</v>
      </c>
      <c r="E300" s="2">
        <v>377</v>
      </c>
      <c r="F300" s="2">
        <v>2010</v>
      </c>
      <c r="G300" s="2" t="s">
        <v>12</v>
      </c>
      <c r="H300" s="4">
        <v>40215</v>
      </c>
      <c r="I300" s="2"/>
      <c r="J300" s="2" t="s">
        <v>25</v>
      </c>
      <c r="K300" s="2"/>
    </row>
    <row r="301" spans="1:11" ht="16.5" x14ac:dyDescent="0.3">
      <c r="A301" s="2" t="s">
        <v>144</v>
      </c>
      <c r="B301" s="2">
        <v>8.59</v>
      </c>
      <c r="C301" s="2">
        <v>1</v>
      </c>
      <c r="D301" s="2">
        <v>116</v>
      </c>
      <c r="E301" s="2">
        <v>377</v>
      </c>
      <c r="F301" s="2">
        <v>2010</v>
      </c>
      <c r="G301" s="2" t="s">
        <v>12</v>
      </c>
      <c r="H301" s="4">
        <v>40215</v>
      </c>
      <c r="I301" s="2"/>
      <c r="J301" s="2" t="s">
        <v>21</v>
      </c>
      <c r="K301" s="2"/>
    </row>
    <row r="302" spans="1:11" ht="16.5" x14ac:dyDescent="0.3">
      <c r="A302" s="2" t="s">
        <v>145</v>
      </c>
      <c r="B302" s="2">
        <v>8.58</v>
      </c>
      <c r="C302" s="2">
        <v>13</v>
      </c>
      <c r="D302" s="2">
        <v>121</v>
      </c>
      <c r="E302" s="2">
        <v>2428</v>
      </c>
      <c r="F302" s="2">
        <v>2025</v>
      </c>
      <c r="G302" s="2" t="s">
        <v>12</v>
      </c>
      <c r="H302" s="4">
        <v>45753</v>
      </c>
      <c r="I302" s="4">
        <v>45837</v>
      </c>
      <c r="J302" s="2" t="s">
        <v>15</v>
      </c>
      <c r="K302" s="2">
        <v>84</v>
      </c>
    </row>
    <row r="303" spans="1:11" ht="16.5" x14ac:dyDescent="0.3">
      <c r="A303" s="2" t="s">
        <v>145</v>
      </c>
      <c r="B303" s="2">
        <v>8.58</v>
      </c>
      <c r="C303" s="2">
        <v>13</v>
      </c>
      <c r="D303" s="2">
        <v>121</v>
      </c>
      <c r="E303" s="2">
        <v>2428</v>
      </c>
      <c r="F303" s="2">
        <v>2025</v>
      </c>
      <c r="G303" s="2" t="s">
        <v>12</v>
      </c>
      <c r="H303" s="4">
        <v>45753</v>
      </c>
      <c r="I303" s="4">
        <v>45837</v>
      </c>
      <c r="J303" s="2" t="s">
        <v>62</v>
      </c>
      <c r="K303" s="2">
        <v>84</v>
      </c>
    </row>
    <row r="304" spans="1:11" ht="16.5" x14ac:dyDescent="0.3">
      <c r="A304" s="2" t="s">
        <v>146</v>
      </c>
      <c r="B304" s="2">
        <v>8.58</v>
      </c>
      <c r="C304" s="2">
        <v>12</v>
      </c>
      <c r="D304" s="2">
        <v>119</v>
      </c>
      <c r="E304" s="2">
        <v>3293</v>
      </c>
      <c r="F304" s="2">
        <v>2024</v>
      </c>
      <c r="G304" s="2" t="s">
        <v>12</v>
      </c>
      <c r="H304" s="4">
        <v>45573</v>
      </c>
      <c r="I304" s="4">
        <v>45650</v>
      </c>
      <c r="J304" s="2" t="s">
        <v>84</v>
      </c>
      <c r="K304" s="2">
        <v>77</v>
      </c>
    </row>
    <row r="305" spans="1:11" ht="16.5" x14ac:dyDescent="0.3">
      <c r="A305" s="2" t="s">
        <v>146</v>
      </c>
      <c r="B305" s="2">
        <v>8.58</v>
      </c>
      <c r="C305" s="2">
        <v>12</v>
      </c>
      <c r="D305" s="2">
        <v>119</v>
      </c>
      <c r="E305" s="2">
        <v>3293</v>
      </c>
      <c r="F305" s="2">
        <v>2024</v>
      </c>
      <c r="G305" s="2" t="s">
        <v>12</v>
      </c>
      <c r="H305" s="4">
        <v>45573</v>
      </c>
      <c r="I305" s="4">
        <v>45650</v>
      </c>
      <c r="J305" s="2" t="s">
        <v>21</v>
      </c>
      <c r="K305" s="2">
        <v>77</v>
      </c>
    </row>
    <row r="306" spans="1:11" ht="16.5" x14ac:dyDescent="0.3">
      <c r="A306" s="2" t="s">
        <v>147</v>
      </c>
      <c r="B306" s="2">
        <v>8.58</v>
      </c>
      <c r="C306" s="2">
        <v>1</v>
      </c>
      <c r="D306" s="2">
        <v>120</v>
      </c>
      <c r="E306" s="2">
        <v>636</v>
      </c>
      <c r="F306" s="2">
        <v>2021</v>
      </c>
      <c r="G306" s="2" t="s">
        <v>12</v>
      </c>
      <c r="H306" s="4">
        <v>44263</v>
      </c>
      <c r="I306" s="2"/>
      <c r="J306" s="2" t="s">
        <v>14</v>
      </c>
      <c r="K306" s="2"/>
    </row>
    <row r="307" spans="1:11" ht="16.5" x14ac:dyDescent="0.3">
      <c r="A307" s="2" t="s">
        <v>147</v>
      </c>
      <c r="B307" s="2">
        <v>8.58</v>
      </c>
      <c r="C307" s="2">
        <v>1</v>
      </c>
      <c r="D307" s="2">
        <v>120</v>
      </c>
      <c r="E307" s="2">
        <v>636</v>
      </c>
      <c r="F307" s="2">
        <v>2021</v>
      </c>
      <c r="G307" s="2" t="s">
        <v>12</v>
      </c>
      <c r="H307" s="4">
        <v>44263</v>
      </c>
      <c r="I307" s="2"/>
      <c r="J307" s="2" t="s">
        <v>15</v>
      </c>
      <c r="K307" s="2"/>
    </row>
    <row r="308" spans="1:11" ht="16.5" x14ac:dyDescent="0.3">
      <c r="A308" s="2" t="s">
        <v>147</v>
      </c>
      <c r="B308" s="2">
        <v>8.58</v>
      </c>
      <c r="C308" s="2">
        <v>1</v>
      </c>
      <c r="D308" s="2">
        <v>120</v>
      </c>
      <c r="E308" s="2">
        <v>636</v>
      </c>
      <c r="F308" s="2">
        <v>2021</v>
      </c>
      <c r="G308" s="2" t="s">
        <v>12</v>
      </c>
      <c r="H308" s="4">
        <v>44263</v>
      </c>
      <c r="I308" s="2"/>
      <c r="J308" s="2" t="s">
        <v>25</v>
      </c>
      <c r="K308" s="2"/>
    </row>
    <row r="309" spans="1:11" ht="16.5" x14ac:dyDescent="0.3">
      <c r="A309" s="2" t="s">
        <v>147</v>
      </c>
      <c r="B309" s="2">
        <v>8.58</v>
      </c>
      <c r="C309" s="2">
        <v>1</v>
      </c>
      <c r="D309" s="2">
        <v>120</v>
      </c>
      <c r="E309" s="2">
        <v>636</v>
      </c>
      <c r="F309" s="2">
        <v>2021</v>
      </c>
      <c r="G309" s="2" t="s">
        <v>12</v>
      </c>
      <c r="H309" s="4">
        <v>44263</v>
      </c>
      <c r="I309" s="2"/>
      <c r="J309" s="2" t="s">
        <v>26</v>
      </c>
      <c r="K309" s="2"/>
    </row>
    <row r="310" spans="1:11" ht="16.5" x14ac:dyDescent="0.3">
      <c r="A310" s="2" t="s">
        <v>148</v>
      </c>
      <c r="B310" s="2">
        <v>8.58</v>
      </c>
      <c r="C310" s="2">
        <v>39</v>
      </c>
      <c r="D310" s="2">
        <v>117</v>
      </c>
      <c r="E310" s="2">
        <v>144</v>
      </c>
      <c r="F310" s="2">
        <v>2018</v>
      </c>
      <c r="G310" s="2" t="s">
        <v>12</v>
      </c>
      <c r="H310" s="4">
        <v>43379</v>
      </c>
      <c r="I310" s="4">
        <v>43674</v>
      </c>
      <c r="J310" s="2" t="s">
        <v>19</v>
      </c>
      <c r="K310" s="2">
        <v>295</v>
      </c>
    </row>
    <row r="311" spans="1:11" ht="16.5" x14ac:dyDescent="0.3">
      <c r="A311" s="2" t="s">
        <v>148</v>
      </c>
      <c r="B311" s="2">
        <v>8.58</v>
      </c>
      <c r="C311" s="2">
        <v>39</v>
      </c>
      <c r="D311" s="2">
        <v>117</v>
      </c>
      <c r="E311" s="2">
        <v>144</v>
      </c>
      <c r="F311" s="2">
        <v>2018</v>
      </c>
      <c r="G311" s="2" t="s">
        <v>12</v>
      </c>
      <c r="H311" s="4">
        <v>43379</v>
      </c>
      <c r="I311" s="4">
        <v>43674</v>
      </c>
      <c r="J311" s="2" t="s">
        <v>13</v>
      </c>
      <c r="K311" s="2">
        <v>295</v>
      </c>
    </row>
    <row r="312" spans="1:11" ht="16.5" x14ac:dyDescent="0.3">
      <c r="A312" s="2" t="s">
        <v>149</v>
      </c>
      <c r="B312" s="2">
        <v>8.58</v>
      </c>
      <c r="C312" s="2">
        <v>1</v>
      </c>
      <c r="D312" s="2">
        <v>118</v>
      </c>
      <c r="E312" s="2">
        <v>1855</v>
      </c>
      <c r="F312" s="2">
        <v>2015</v>
      </c>
      <c r="G312" s="2" t="s">
        <v>12</v>
      </c>
      <c r="H312" s="4">
        <v>42140</v>
      </c>
      <c r="I312" s="2"/>
      <c r="J312" s="2" t="s">
        <v>13</v>
      </c>
      <c r="K312" s="2"/>
    </row>
    <row r="313" spans="1:11" ht="16.5" x14ac:dyDescent="0.3">
      <c r="A313" s="2" t="s">
        <v>149</v>
      </c>
      <c r="B313" s="2">
        <v>8.58</v>
      </c>
      <c r="C313" s="2">
        <v>1</v>
      </c>
      <c r="D313" s="2">
        <v>118</v>
      </c>
      <c r="E313" s="2">
        <v>1855</v>
      </c>
      <c r="F313" s="2">
        <v>2015</v>
      </c>
      <c r="G313" s="2" t="s">
        <v>12</v>
      </c>
      <c r="H313" s="4">
        <v>42140</v>
      </c>
      <c r="I313" s="2"/>
      <c r="J313" s="2" t="s">
        <v>20</v>
      </c>
      <c r="K313" s="2"/>
    </row>
    <row r="314" spans="1:11" ht="16.5" x14ac:dyDescent="0.3">
      <c r="A314" s="2" t="s">
        <v>149</v>
      </c>
      <c r="B314" s="2">
        <v>8.58</v>
      </c>
      <c r="C314" s="2">
        <v>1</v>
      </c>
      <c r="D314" s="2">
        <v>118</v>
      </c>
      <c r="E314" s="2">
        <v>1855</v>
      </c>
      <c r="F314" s="2">
        <v>2015</v>
      </c>
      <c r="G314" s="2" t="s">
        <v>12</v>
      </c>
      <c r="H314" s="4">
        <v>42140</v>
      </c>
      <c r="I314" s="2"/>
      <c r="J314" s="2" t="s">
        <v>84</v>
      </c>
      <c r="K314" s="2"/>
    </row>
    <row r="315" spans="1:11" ht="16.5" x14ac:dyDescent="0.3">
      <c r="A315" s="2" t="s">
        <v>149</v>
      </c>
      <c r="B315" s="2">
        <v>8.58</v>
      </c>
      <c r="C315" s="2">
        <v>1</v>
      </c>
      <c r="D315" s="2">
        <v>118</v>
      </c>
      <c r="E315" s="2">
        <v>1855</v>
      </c>
      <c r="F315" s="2">
        <v>2015</v>
      </c>
      <c r="G315" s="2" t="s">
        <v>12</v>
      </c>
      <c r="H315" s="4">
        <v>42140</v>
      </c>
      <c r="I315" s="2"/>
      <c r="J315" s="2" t="s">
        <v>21</v>
      </c>
      <c r="K315" s="2"/>
    </row>
    <row r="316" spans="1:11" ht="16.5" x14ac:dyDescent="0.3">
      <c r="A316" s="2" t="s">
        <v>150</v>
      </c>
      <c r="B316" s="2">
        <v>8.57</v>
      </c>
      <c r="C316" s="2">
        <v>25</v>
      </c>
      <c r="D316" s="2">
        <v>123</v>
      </c>
      <c r="E316" s="2">
        <v>1</v>
      </c>
      <c r="F316" s="2">
        <v>2013</v>
      </c>
      <c r="G316" s="2" t="s">
        <v>12</v>
      </c>
      <c r="H316" s="4">
        <v>41371</v>
      </c>
      <c r="I316" s="4">
        <v>41546</v>
      </c>
      <c r="J316" s="2" t="s">
        <v>19</v>
      </c>
      <c r="K316" s="2">
        <v>175</v>
      </c>
    </row>
    <row r="317" spans="1:11" ht="16.5" x14ac:dyDescent="0.3">
      <c r="A317" s="2" t="s">
        <v>150</v>
      </c>
      <c r="B317" s="2">
        <v>8.57</v>
      </c>
      <c r="C317" s="2">
        <v>25</v>
      </c>
      <c r="D317" s="2">
        <v>123</v>
      </c>
      <c r="E317" s="2">
        <v>1</v>
      </c>
      <c r="F317" s="2">
        <v>2013</v>
      </c>
      <c r="G317" s="2" t="s">
        <v>12</v>
      </c>
      <c r="H317" s="4">
        <v>41371</v>
      </c>
      <c r="I317" s="4">
        <v>41546</v>
      </c>
      <c r="J317" s="2" t="s">
        <v>14</v>
      </c>
      <c r="K317" s="2">
        <v>175</v>
      </c>
    </row>
    <row r="318" spans="1:11" ht="16.5" x14ac:dyDescent="0.3">
      <c r="A318" s="2" t="s">
        <v>150</v>
      </c>
      <c r="B318" s="2">
        <v>8.57</v>
      </c>
      <c r="C318" s="2">
        <v>25</v>
      </c>
      <c r="D318" s="2">
        <v>123</v>
      </c>
      <c r="E318" s="2">
        <v>1</v>
      </c>
      <c r="F318" s="2">
        <v>2013</v>
      </c>
      <c r="G318" s="2" t="s">
        <v>12</v>
      </c>
      <c r="H318" s="4">
        <v>41371</v>
      </c>
      <c r="I318" s="4">
        <v>41546</v>
      </c>
      <c r="J318" s="2" t="s">
        <v>15</v>
      </c>
      <c r="K318" s="2">
        <v>175</v>
      </c>
    </row>
    <row r="319" spans="1:11" ht="16.5" x14ac:dyDescent="0.3">
      <c r="A319" s="2" t="s">
        <v>150</v>
      </c>
      <c r="B319" s="2">
        <v>8.57</v>
      </c>
      <c r="C319" s="2">
        <v>25</v>
      </c>
      <c r="D319" s="2">
        <v>123</v>
      </c>
      <c r="E319" s="2">
        <v>1</v>
      </c>
      <c r="F319" s="2">
        <v>2013</v>
      </c>
      <c r="G319" s="2" t="s">
        <v>12</v>
      </c>
      <c r="H319" s="4">
        <v>41371</v>
      </c>
      <c r="I319" s="4">
        <v>41546</v>
      </c>
      <c r="J319" s="2" t="s">
        <v>26</v>
      </c>
      <c r="K319" s="2">
        <v>175</v>
      </c>
    </row>
    <row r="320" spans="1:11" ht="16.5" x14ac:dyDescent="0.3">
      <c r="A320" s="2" t="s">
        <v>151</v>
      </c>
      <c r="B320" s="2">
        <v>8.57</v>
      </c>
      <c r="C320" s="2">
        <v>47</v>
      </c>
      <c r="D320" s="2">
        <v>122</v>
      </c>
      <c r="E320" s="2">
        <v>295</v>
      </c>
      <c r="F320" s="2">
        <v>2006</v>
      </c>
      <c r="G320" s="2" t="s">
        <v>12</v>
      </c>
      <c r="H320" s="4">
        <v>38812</v>
      </c>
      <c r="I320" s="4">
        <v>39169</v>
      </c>
      <c r="J320" s="2" t="s">
        <v>15</v>
      </c>
      <c r="K320" s="2">
        <v>357</v>
      </c>
    </row>
    <row r="321" spans="1:11" ht="16.5" x14ac:dyDescent="0.3">
      <c r="A321" s="2" t="s">
        <v>151</v>
      </c>
      <c r="B321" s="2">
        <v>8.57</v>
      </c>
      <c r="C321" s="2">
        <v>47</v>
      </c>
      <c r="D321" s="2">
        <v>122</v>
      </c>
      <c r="E321" s="2">
        <v>295</v>
      </c>
      <c r="F321" s="2">
        <v>2006</v>
      </c>
      <c r="G321" s="2" t="s">
        <v>12</v>
      </c>
      <c r="H321" s="4">
        <v>38812</v>
      </c>
      <c r="I321" s="4">
        <v>39169</v>
      </c>
      <c r="J321" s="2" t="s">
        <v>40</v>
      </c>
      <c r="K321" s="2">
        <v>357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showGridLines="0" workbookViewId="0">
      <selection activeCell="E23" sqref="E23"/>
    </sheetView>
  </sheetViews>
  <sheetFormatPr defaultRowHeight="16.5" x14ac:dyDescent="0.3"/>
  <cols>
    <col min="1" max="1" width="29.625" style="2" bestFit="1" customWidth="1"/>
    <col min="2" max="4" width="9.125" style="2" bestFit="1" customWidth="1"/>
    <col min="5" max="5" width="10.875" style="2" bestFit="1" customWidth="1"/>
    <col min="6" max="6" width="9.125" style="2" bestFit="1" customWidth="1"/>
    <col min="7" max="7" width="12.125" style="2" bestFit="1" customWidth="1"/>
    <col min="8" max="8" width="11.125" style="2" bestFit="1" customWidth="1"/>
    <col min="9" max="9" width="10.375" style="2" bestFit="1" customWidth="1"/>
    <col min="10" max="10" width="9.25" style="2" bestFit="1" customWidth="1"/>
    <col min="11" max="11" width="14.875" style="2" bestFit="1" customWidth="1"/>
    <col min="12" max="16384" width="9" style="2"/>
  </cols>
  <sheetData>
    <row r="1" spans="1:11" x14ac:dyDescent="0.3">
      <c r="A1" s="5" t="s">
        <v>0</v>
      </c>
      <c r="B1" s="5" t="s">
        <v>1</v>
      </c>
      <c r="C1" s="5" t="s">
        <v>2</v>
      </c>
      <c r="D1" s="5" t="s">
        <v>3</v>
      </c>
      <c r="E1" s="5" t="s">
        <v>4</v>
      </c>
      <c r="F1" s="5" t="s">
        <v>5</v>
      </c>
      <c r="G1" s="5" t="s">
        <v>6</v>
      </c>
      <c r="H1" s="5" t="s">
        <v>7</v>
      </c>
      <c r="I1" s="5" t="s">
        <v>8</v>
      </c>
      <c r="J1" s="5" t="s">
        <v>9</v>
      </c>
      <c r="K1" s="5" t="s">
        <v>10</v>
      </c>
    </row>
    <row r="2" spans="1:11" x14ac:dyDescent="0.3">
      <c r="A2" s="2" t="s">
        <v>11</v>
      </c>
      <c r="B2" s="2">
        <v>9.27</v>
      </c>
      <c r="C2" s="2">
        <v>28</v>
      </c>
      <c r="D2" s="2">
        <v>1</v>
      </c>
      <c r="E2" s="2">
        <v>104</v>
      </c>
      <c r="F2" s="2">
        <v>2023</v>
      </c>
      <c r="G2" s="2" t="s">
        <v>12</v>
      </c>
      <c r="H2" s="4">
        <v>45198</v>
      </c>
      <c r="I2" s="4">
        <v>45373</v>
      </c>
      <c r="J2" s="2" t="s">
        <v>13</v>
      </c>
      <c r="K2" s="2">
        <v>175</v>
      </c>
    </row>
    <row r="3" spans="1:11" x14ac:dyDescent="0.3">
      <c r="A3" s="2" t="s">
        <v>22</v>
      </c>
      <c r="B3" s="2">
        <v>9.11</v>
      </c>
      <c r="C3" s="2">
        <v>64</v>
      </c>
      <c r="D3" s="2">
        <v>3</v>
      </c>
      <c r="E3" s="2">
        <v>3</v>
      </c>
      <c r="F3" s="2">
        <v>2009</v>
      </c>
      <c r="G3" s="2" t="s">
        <v>12</v>
      </c>
      <c r="H3" s="4">
        <v>39908</v>
      </c>
      <c r="I3" s="4">
        <v>40363</v>
      </c>
      <c r="J3" s="2" t="s">
        <v>19</v>
      </c>
      <c r="K3" s="2">
        <v>455</v>
      </c>
    </row>
    <row r="4" spans="1:11" x14ac:dyDescent="0.3">
      <c r="A4" s="2" t="s">
        <v>24</v>
      </c>
      <c r="B4" s="2">
        <v>9.07</v>
      </c>
      <c r="C4" s="2">
        <v>24</v>
      </c>
      <c r="D4" s="2">
        <v>5</v>
      </c>
      <c r="E4" s="2">
        <v>14</v>
      </c>
      <c r="F4" s="2">
        <v>2011</v>
      </c>
      <c r="G4" s="2" t="s">
        <v>12</v>
      </c>
      <c r="H4" s="4">
        <v>40639</v>
      </c>
      <c r="I4" s="4">
        <v>40800</v>
      </c>
      <c r="J4" s="2" t="s">
        <v>15</v>
      </c>
      <c r="K4" s="2">
        <v>161</v>
      </c>
    </row>
    <row r="5" spans="1:11" x14ac:dyDescent="0.3">
      <c r="A5" s="2" t="s">
        <v>28</v>
      </c>
      <c r="B5" s="2">
        <v>9.0500000000000007</v>
      </c>
      <c r="C5" s="2">
        <v>51</v>
      </c>
      <c r="D5" s="2">
        <v>7</v>
      </c>
      <c r="E5" s="2">
        <v>349</v>
      </c>
      <c r="F5" s="2">
        <v>2015</v>
      </c>
      <c r="G5" s="2" t="s">
        <v>12</v>
      </c>
      <c r="H5" s="4">
        <v>42102</v>
      </c>
      <c r="I5" s="4">
        <v>42459</v>
      </c>
      <c r="J5" s="2" t="s">
        <v>25</v>
      </c>
      <c r="K5" s="2">
        <v>357</v>
      </c>
    </row>
    <row r="6" spans="1:11" x14ac:dyDescent="0.3">
      <c r="A6" s="2" t="s">
        <v>27</v>
      </c>
      <c r="B6" s="2">
        <v>9.0500000000000007</v>
      </c>
      <c r="C6" s="2">
        <v>10</v>
      </c>
      <c r="D6" s="2">
        <v>8</v>
      </c>
      <c r="E6" s="2">
        <v>20</v>
      </c>
      <c r="F6" s="2">
        <v>2019</v>
      </c>
      <c r="G6" s="2" t="s">
        <v>12</v>
      </c>
      <c r="H6" s="4">
        <v>43584</v>
      </c>
      <c r="I6" s="4">
        <v>43647</v>
      </c>
      <c r="J6" s="2" t="s">
        <v>15</v>
      </c>
      <c r="K6" s="2">
        <v>63</v>
      </c>
    </row>
    <row r="7" spans="1:11" x14ac:dyDescent="0.3">
      <c r="A7" s="2" t="s">
        <v>31</v>
      </c>
      <c r="B7" s="2">
        <v>9.0299999999999994</v>
      </c>
      <c r="C7" s="2">
        <v>148</v>
      </c>
      <c r="D7" s="2">
        <v>9</v>
      </c>
      <c r="E7" s="2">
        <v>8</v>
      </c>
      <c r="F7" s="2">
        <v>2011</v>
      </c>
      <c r="G7" s="2" t="s">
        <v>12</v>
      </c>
      <c r="H7" s="4">
        <v>40818</v>
      </c>
      <c r="I7" s="4">
        <v>41906</v>
      </c>
      <c r="J7" s="2" t="s">
        <v>19</v>
      </c>
      <c r="K7" s="2">
        <v>1088</v>
      </c>
    </row>
    <row r="8" spans="1:11" x14ac:dyDescent="0.3">
      <c r="A8" s="2" t="s">
        <v>35</v>
      </c>
      <c r="B8" s="2">
        <v>9.02</v>
      </c>
      <c r="C8" s="2">
        <v>110</v>
      </c>
      <c r="D8" s="2">
        <v>10</v>
      </c>
      <c r="E8" s="2">
        <v>755</v>
      </c>
      <c r="F8" s="2">
        <v>1988</v>
      </c>
      <c r="G8" s="2" t="s">
        <v>12</v>
      </c>
      <c r="H8" s="4">
        <v>32150</v>
      </c>
      <c r="I8" s="4">
        <v>35506</v>
      </c>
      <c r="J8" s="2" t="s">
        <v>25</v>
      </c>
      <c r="K8" s="2">
        <v>3356</v>
      </c>
    </row>
    <row r="9" spans="1:11" x14ac:dyDescent="0.3">
      <c r="A9" s="2" t="s">
        <v>33</v>
      </c>
      <c r="B9" s="2">
        <v>9.02</v>
      </c>
      <c r="C9" s="2">
        <v>51</v>
      </c>
      <c r="D9" s="2">
        <v>11</v>
      </c>
      <c r="E9" s="2">
        <v>406</v>
      </c>
      <c r="F9" s="2">
        <v>2011</v>
      </c>
      <c r="G9" s="2" t="s">
        <v>12</v>
      </c>
      <c r="H9" s="4">
        <v>40637</v>
      </c>
      <c r="I9" s="4">
        <v>40994</v>
      </c>
      <c r="J9" s="2" t="s">
        <v>25</v>
      </c>
      <c r="K9" s="2">
        <v>357</v>
      </c>
    </row>
    <row r="10" spans="1:11" x14ac:dyDescent="0.3">
      <c r="A10" s="2" t="s">
        <v>34</v>
      </c>
      <c r="B10" s="2">
        <v>9.02</v>
      </c>
      <c r="C10" s="2">
        <v>13</v>
      </c>
      <c r="D10" s="2">
        <v>12</v>
      </c>
      <c r="E10" s="2">
        <v>760</v>
      </c>
      <c r="F10" s="2">
        <v>2012</v>
      </c>
      <c r="G10" s="2" t="s">
        <v>12</v>
      </c>
      <c r="H10" s="4">
        <v>41186</v>
      </c>
      <c r="I10" s="4">
        <v>41361</v>
      </c>
      <c r="J10" s="2" t="s">
        <v>19</v>
      </c>
      <c r="K10" s="2">
        <v>175</v>
      </c>
    </row>
    <row r="11" spans="1:11" x14ac:dyDescent="0.3">
      <c r="A11" s="2" t="s">
        <v>37</v>
      </c>
      <c r="B11" s="2">
        <v>8.98</v>
      </c>
      <c r="C11" s="2">
        <v>13</v>
      </c>
      <c r="D11" s="2">
        <v>14</v>
      </c>
      <c r="E11" s="2">
        <v>342</v>
      </c>
      <c r="F11" s="2">
        <v>2022</v>
      </c>
      <c r="G11" s="2" t="s">
        <v>12</v>
      </c>
      <c r="H11" s="4">
        <v>44845</v>
      </c>
      <c r="I11" s="4">
        <v>44922</v>
      </c>
      <c r="J11" s="2" t="s">
        <v>13</v>
      </c>
      <c r="K11" s="2">
        <v>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showGridLines="0" workbookViewId="0">
      <selection activeCell="G19" sqref="G19"/>
    </sheetView>
  </sheetViews>
  <sheetFormatPr defaultRowHeight="16.5" x14ac:dyDescent="0.3"/>
  <cols>
    <col min="1" max="1" width="27.875" style="2" bestFit="1" customWidth="1"/>
    <col min="2" max="4" width="9.125" style="2" bestFit="1" customWidth="1"/>
    <col min="5" max="5" width="10.875" style="2" bestFit="1" customWidth="1"/>
    <col min="6" max="6" width="9.125" style="2" bestFit="1" customWidth="1"/>
    <col min="7" max="7" width="12.125" style="2" bestFit="1" customWidth="1"/>
    <col min="8" max="8" width="11.125" style="2" bestFit="1" customWidth="1"/>
    <col min="9" max="9" width="10.375" style="2" bestFit="1" customWidth="1"/>
    <col min="10" max="10" width="9" style="2"/>
    <col min="11" max="11" width="14.875" style="2" bestFit="1" customWidth="1"/>
    <col min="12" max="16384" width="9" style="2"/>
  </cols>
  <sheetData>
    <row r="1" spans="1:11" x14ac:dyDescent="0.3">
      <c r="A1" s="5" t="s">
        <v>0</v>
      </c>
      <c r="B1" s="5" t="s">
        <v>1</v>
      </c>
      <c r="C1" s="5" t="s">
        <v>2</v>
      </c>
      <c r="D1" s="5" t="s">
        <v>3</v>
      </c>
      <c r="E1" s="5" t="s">
        <v>4</v>
      </c>
      <c r="F1" s="5" t="s">
        <v>5</v>
      </c>
      <c r="G1" s="5" t="s">
        <v>6</v>
      </c>
      <c r="H1" s="5" t="s">
        <v>7</v>
      </c>
      <c r="I1" s="5" t="s">
        <v>8</v>
      </c>
      <c r="J1" s="5" t="s">
        <v>9</v>
      </c>
      <c r="K1" s="5" t="s">
        <v>10</v>
      </c>
    </row>
    <row r="2" spans="1:11" x14ac:dyDescent="0.3">
      <c r="A2" s="2" t="s">
        <v>35</v>
      </c>
      <c r="B2" s="2">
        <v>9.02</v>
      </c>
      <c r="C2" s="2">
        <v>110</v>
      </c>
      <c r="D2" s="2">
        <v>10</v>
      </c>
      <c r="E2" s="2">
        <v>755</v>
      </c>
      <c r="F2" s="2">
        <v>1988</v>
      </c>
      <c r="G2" s="2" t="s">
        <v>12</v>
      </c>
      <c r="H2" s="4">
        <v>32150</v>
      </c>
      <c r="I2" s="4">
        <v>35506</v>
      </c>
      <c r="J2" s="2" t="s">
        <v>25</v>
      </c>
      <c r="K2" s="2">
        <v>3356</v>
      </c>
    </row>
    <row r="3" spans="1:11" x14ac:dyDescent="0.3">
      <c r="A3" s="2" t="s">
        <v>43</v>
      </c>
      <c r="B3" s="2">
        <v>8.93</v>
      </c>
      <c r="C3" s="2">
        <v>201</v>
      </c>
      <c r="D3" s="2">
        <v>20</v>
      </c>
      <c r="E3" s="2">
        <v>147</v>
      </c>
      <c r="F3" s="2">
        <v>2006</v>
      </c>
      <c r="G3" s="2" t="s">
        <v>12</v>
      </c>
      <c r="H3" s="4">
        <v>38811</v>
      </c>
      <c r="I3" s="4">
        <v>40262</v>
      </c>
      <c r="J3" s="2" t="s">
        <v>29</v>
      </c>
      <c r="K3" s="2">
        <v>1451</v>
      </c>
    </row>
    <row r="4" spans="1:11" x14ac:dyDescent="0.3">
      <c r="A4" s="2" t="s">
        <v>31</v>
      </c>
      <c r="B4" s="2">
        <v>9.0299999999999994</v>
      </c>
      <c r="C4" s="2">
        <v>148</v>
      </c>
      <c r="D4" s="2">
        <v>9</v>
      </c>
      <c r="E4" s="2">
        <v>8</v>
      </c>
      <c r="F4" s="2">
        <v>2011</v>
      </c>
      <c r="G4" s="2" t="s">
        <v>12</v>
      </c>
      <c r="H4" s="4">
        <v>40818</v>
      </c>
      <c r="I4" s="4">
        <v>41906</v>
      </c>
      <c r="J4" s="2" t="s">
        <v>16</v>
      </c>
      <c r="K4" s="2">
        <v>1088</v>
      </c>
    </row>
    <row r="5" spans="1:11" x14ac:dyDescent="0.3">
      <c r="A5" s="2" t="s">
        <v>54</v>
      </c>
      <c r="B5" s="2">
        <v>8.85</v>
      </c>
      <c r="C5" s="2">
        <v>26</v>
      </c>
      <c r="D5" s="2">
        <v>30</v>
      </c>
      <c r="E5" s="2">
        <v>1949</v>
      </c>
      <c r="F5" s="2">
        <v>2020</v>
      </c>
      <c r="G5" s="2" t="s">
        <v>12</v>
      </c>
      <c r="H5" s="4">
        <v>43927</v>
      </c>
      <c r="I5" s="4">
        <v>44486</v>
      </c>
      <c r="J5" s="2" t="s">
        <v>19</v>
      </c>
      <c r="K5" s="2">
        <v>559</v>
      </c>
    </row>
    <row r="6" spans="1:11" x14ac:dyDescent="0.3">
      <c r="A6" s="2" t="s">
        <v>49</v>
      </c>
      <c r="B6" s="2">
        <v>8.89</v>
      </c>
      <c r="C6" s="2">
        <v>74</v>
      </c>
      <c r="D6" s="2">
        <v>26</v>
      </c>
      <c r="E6" s="2">
        <v>118</v>
      </c>
      <c r="F6" s="2">
        <v>2004</v>
      </c>
      <c r="G6" s="2" t="s">
        <v>12</v>
      </c>
      <c r="H6" s="4">
        <v>38084</v>
      </c>
      <c r="I6" s="4">
        <v>38623</v>
      </c>
      <c r="J6" s="2" t="s">
        <v>20</v>
      </c>
      <c r="K6" s="2">
        <v>539</v>
      </c>
    </row>
    <row r="7" spans="1:11" x14ac:dyDescent="0.3">
      <c r="A7" s="2" t="s">
        <v>67</v>
      </c>
      <c r="B7" s="2">
        <v>8.7799999999999994</v>
      </c>
      <c r="C7" s="2">
        <v>75</v>
      </c>
      <c r="D7" s="2">
        <v>40</v>
      </c>
      <c r="E7" s="2">
        <v>348</v>
      </c>
      <c r="F7" s="2">
        <v>2000</v>
      </c>
      <c r="G7" s="2" t="s">
        <v>12</v>
      </c>
      <c r="H7" s="4">
        <v>36803</v>
      </c>
      <c r="I7" s="4">
        <v>37342</v>
      </c>
      <c r="J7" s="2" t="s">
        <v>62</v>
      </c>
      <c r="K7" s="2">
        <v>539</v>
      </c>
    </row>
    <row r="8" spans="1:11" x14ac:dyDescent="0.3">
      <c r="A8" s="2" t="s">
        <v>22</v>
      </c>
      <c r="B8" s="2">
        <v>9.11</v>
      </c>
      <c r="C8" s="2">
        <v>64</v>
      </c>
      <c r="D8" s="2">
        <v>3</v>
      </c>
      <c r="E8" s="2">
        <v>3</v>
      </c>
      <c r="F8" s="2">
        <v>2009</v>
      </c>
      <c r="G8" s="2" t="s">
        <v>12</v>
      </c>
      <c r="H8" s="4">
        <v>39908</v>
      </c>
      <c r="I8" s="4">
        <v>40363</v>
      </c>
      <c r="J8" s="2" t="s">
        <v>16</v>
      </c>
      <c r="K8" s="2">
        <v>455</v>
      </c>
    </row>
    <row r="9" spans="1:11" x14ac:dyDescent="0.3">
      <c r="A9" s="2" t="s">
        <v>100</v>
      </c>
      <c r="B9" s="2">
        <v>8.68</v>
      </c>
      <c r="C9" s="2">
        <v>43</v>
      </c>
      <c r="D9" s="2">
        <v>73</v>
      </c>
      <c r="E9" s="2">
        <v>221</v>
      </c>
      <c r="F9" s="2">
        <v>1999</v>
      </c>
      <c r="G9" s="2" t="s">
        <v>12</v>
      </c>
      <c r="H9" s="4">
        <v>36341</v>
      </c>
      <c r="I9" s="4">
        <v>36786</v>
      </c>
      <c r="J9" s="2" t="s">
        <v>29</v>
      </c>
      <c r="K9" s="2">
        <v>445</v>
      </c>
    </row>
    <row r="10" spans="1:11" x14ac:dyDescent="0.3">
      <c r="A10" s="2" t="s">
        <v>73</v>
      </c>
      <c r="B10" s="2">
        <v>8.75</v>
      </c>
      <c r="C10" s="2">
        <v>26</v>
      </c>
      <c r="D10" s="2">
        <v>49</v>
      </c>
      <c r="E10" s="2">
        <v>42</v>
      </c>
      <c r="F10" s="2">
        <v>1998</v>
      </c>
      <c r="G10" s="2" t="s">
        <v>12</v>
      </c>
      <c r="H10" s="4">
        <v>35888</v>
      </c>
      <c r="I10" s="4">
        <v>36274</v>
      </c>
      <c r="J10" s="2" t="s">
        <v>25</v>
      </c>
      <c r="K10" s="2">
        <v>386</v>
      </c>
    </row>
    <row r="11" spans="1:11" x14ac:dyDescent="0.3">
      <c r="A11" s="2" t="s">
        <v>33</v>
      </c>
      <c r="B11" s="2">
        <v>9.02</v>
      </c>
      <c r="C11" s="2">
        <v>51</v>
      </c>
      <c r="D11" s="2">
        <v>11</v>
      </c>
      <c r="E11" s="2">
        <v>406</v>
      </c>
      <c r="F11" s="2">
        <v>2011</v>
      </c>
      <c r="G11" s="2" t="s">
        <v>12</v>
      </c>
      <c r="H11" s="4">
        <v>40637</v>
      </c>
      <c r="I11" s="4">
        <v>40994</v>
      </c>
      <c r="J11" s="2" t="s">
        <v>25</v>
      </c>
      <c r="K11" s="2">
        <v>357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showGridLines="0" workbookViewId="0"/>
  </sheetViews>
  <sheetFormatPr defaultRowHeight="16.5" x14ac:dyDescent="0.3"/>
  <cols>
    <col min="1" max="1" width="20.25" style="2" customWidth="1"/>
    <col min="2" max="2" width="16" style="2" customWidth="1"/>
    <col min="3" max="3" width="23.875" style="2" customWidth="1"/>
    <col min="4" max="16384" width="9" style="2"/>
  </cols>
  <sheetData>
    <row r="1" spans="1:2" x14ac:dyDescent="0.3">
      <c r="A1" s="16" t="s">
        <v>6</v>
      </c>
      <c r="B1" s="2" t="s" vm="1">
        <v>161</v>
      </c>
    </row>
    <row r="3" spans="1:2" x14ac:dyDescent="0.3">
      <c r="A3" s="16" t="s">
        <v>152</v>
      </c>
      <c r="B3" s="2" t="s">
        <v>154</v>
      </c>
    </row>
    <row r="4" spans="1:2" x14ac:dyDescent="0.3">
      <c r="A4" s="3" t="s">
        <v>11</v>
      </c>
      <c r="B4" s="17">
        <v>1</v>
      </c>
    </row>
    <row r="5" spans="1:2" x14ac:dyDescent="0.3">
      <c r="A5" s="3" t="s">
        <v>17</v>
      </c>
      <c r="B5" s="17">
        <v>2</v>
      </c>
    </row>
    <row r="6" spans="1:2" x14ac:dyDescent="0.3">
      <c r="A6" s="3" t="s">
        <v>22</v>
      </c>
      <c r="B6" s="17">
        <v>3</v>
      </c>
    </row>
    <row r="7" spans="1:2" x14ac:dyDescent="0.3">
      <c r="A7" s="3" t="s">
        <v>23</v>
      </c>
      <c r="B7" s="17">
        <v>4</v>
      </c>
    </row>
    <row r="8" spans="1:2" x14ac:dyDescent="0.3">
      <c r="A8" s="3" t="s">
        <v>24</v>
      </c>
      <c r="B8" s="17">
        <v>5</v>
      </c>
    </row>
    <row r="9" spans="1:2" x14ac:dyDescent="0.3">
      <c r="A9" s="3" t="s">
        <v>30</v>
      </c>
      <c r="B9" s="17">
        <v>6</v>
      </c>
    </row>
    <row r="10" spans="1:2" x14ac:dyDescent="0.3">
      <c r="A10" s="3" t="s">
        <v>28</v>
      </c>
      <c r="B10" s="17">
        <v>7</v>
      </c>
    </row>
    <row r="11" spans="1:2" x14ac:dyDescent="0.3">
      <c r="A11" s="3" t="s">
        <v>27</v>
      </c>
      <c r="B11" s="17">
        <v>8</v>
      </c>
    </row>
    <row r="12" spans="1:2" x14ac:dyDescent="0.3">
      <c r="A12" s="3" t="s">
        <v>31</v>
      </c>
      <c r="B12" s="17">
        <v>9</v>
      </c>
    </row>
    <row r="13" spans="1:2" x14ac:dyDescent="0.3">
      <c r="A13" s="3" t="s">
        <v>35</v>
      </c>
      <c r="B13" s="17">
        <v>10</v>
      </c>
    </row>
    <row r="14" spans="1:2" x14ac:dyDescent="0.3">
      <c r="A14" s="3" t="s">
        <v>153</v>
      </c>
      <c r="B14" s="17">
        <v>1</v>
      </c>
    </row>
    <row r="20" spans="1:2" x14ac:dyDescent="0.3">
      <c r="A20" s="16" t="s">
        <v>152</v>
      </c>
      <c r="B20" s="2" t="s">
        <v>155</v>
      </c>
    </row>
    <row r="21" spans="1:2" x14ac:dyDescent="0.3">
      <c r="A21" s="3" t="s">
        <v>35</v>
      </c>
      <c r="B21" s="17">
        <v>3356</v>
      </c>
    </row>
    <row r="22" spans="1:2" x14ac:dyDescent="0.3">
      <c r="A22" s="3" t="s">
        <v>43</v>
      </c>
      <c r="B22" s="17">
        <v>1451</v>
      </c>
    </row>
    <row r="23" spans="1:2" x14ac:dyDescent="0.3">
      <c r="A23" s="3" t="s">
        <v>31</v>
      </c>
      <c r="B23" s="17">
        <v>1088</v>
      </c>
    </row>
    <row r="24" spans="1:2" x14ac:dyDescent="0.3">
      <c r="A24" s="3" t="s">
        <v>54</v>
      </c>
      <c r="B24" s="17">
        <v>559</v>
      </c>
    </row>
    <row r="25" spans="1:2" x14ac:dyDescent="0.3">
      <c r="A25" s="3" t="s">
        <v>67</v>
      </c>
      <c r="B25" s="17">
        <v>539</v>
      </c>
    </row>
    <row r="26" spans="1:2" x14ac:dyDescent="0.3">
      <c r="A26" s="3" t="s">
        <v>49</v>
      </c>
      <c r="B26" s="17">
        <v>539</v>
      </c>
    </row>
    <row r="27" spans="1:2" x14ac:dyDescent="0.3">
      <c r="A27" s="3" t="s">
        <v>22</v>
      </c>
      <c r="B27" s="17">
        <v>455</v>
      </c>
    </row>
    <row r="28" spans="1:2" x14ac:dyDescent="0.3">
      <c r="A28" s="3" t="s">
        <v>100</v>
      </c>
      <c r="B28" s="17">
        <v>445</v>
      </c>
    </row>
    <row r="29" spans="1:2" x14ac:dyDescent="0.3">
      <c r="A29" s="3" t="s">
        <v>73</v>
      </c>
      <c r="B29" s="17">
        <v>386</v>
      </c>
    </row>
    <row r="30" spans="1:2" x14ac:dyDescent="0.3">
      <c r="A30" s="3" t="s">
        <v>33</v>
      </c>
      <c r="B30" s="17">
        <v>357</v>
      </c>
    </row>
    <row r="31" spans="1:2" x14ac:dyDescent="0.3">
      <c r="A31" s="3" t="s">
        <v>153</v>
      </c>
      <c r="B31" s="17">
        <v>3356</v>
      </c>
    </row>
    <row r="37" spans="1:2" x14ac:dyDescent="0.3">
      <c r="A37" s="16" t="s">
        <v>152</v>
      </c>
      <c r="B37" s="2" t="s">
        <v>156</v>
      </c>
    </row>
    <row r="38" spans="1:2" x14ac:dyDescent="0.3">
      <c r="A38" s="3" t="s">
        <v>15</v>
      </c>
      <c r="B38" s="17">
        <v>57</v>
      </c>
    </row>
    <row r="39" spans="1:2" x14ac:dyDescent="0.3">
      <c r="A39" s="3" t="s">
        <v>19</v>
      </c>
      <c r="B39" s="17">
        <v>51</v>
      </c>
    </row>
    <row r="40" spans="1:2" x14ac:dyDescent="0.3">
      <c r="A40" s="3" t="s">
        <v>13</v>
      </c>
      <c r="B40" s="17">
        <v>30</v>
      </c>
    </row>
    <row r="41" spans="1:2" x14ac:dyDescent="0.3">
      <c r="A41" s="3" t="s">
        <v>21</v>
      </c>
      <c r="B41" s="17">
        <v>25</v>
      </c>
    </row>
    <row r="42" spans="1:2" x14ac:dyDescent="0.3">
      <c r="A42" s="3" t="s">
        <v>25</v>
      </c>
      <c r="B42" s="17">
        <v>24</v>
      </c>
    </row>
    <row r="43" spans="1:2" x14ac:dyDescent="0.3">
      <c r="A43" s="3" t="s">
        <v>20</v>
      </c>
      <c r="B43" s="17">
        <v>22</v>
      </c>
    </row>
    <row r="44" spans="1:2" x14ac:dyDescent="0.3">
      <c r="A44" s="3" t="s">
        <v>29</v>
      </c>
      <c r="B44" s="17">
        <v>21</v>
      </c>
    </row>
    <row r="45" spans="1:2" x14ac:dyDescent="0.3">
      <c r="A45" s="3" t="s">
        <v>16</v>
      </c>
      <c r="B45" s="17">
        <v>21</v>
      </c>
    </row>
    <row r="46" spans="1:2" x14ac:dyDescent="0.3">
      <c r="A46" s="3" t="s">
        <v>14</v>
      </c>
      <c r="B46" s="17">
        <v>19</v>
      </c>
    </row>
    <row r="47" spans="1:2" x14ac:dyDescent="0.3">
      <c r="A47" s="3" t="s">
        <v>26</v>
      </c>
      <c r="B47" s="17">
        <v>15</v>
      </c>
    </row>
    <row r="48" spans="1:2" x14ac:dyDescent="0.3">
      <c r="A48" s="3" t="s">
        <v>62</v>
      </c>
      <c r="B48" s="17">
        <v>12</v>
      </c>
    </row>
    <row r="49" spans="1:3" x14ac:dyDescent="0.3">
      <c r="A49" s="3" t="s">
        <v>40</v>
      </c>
      <c r="B49" s="17">
        <v>12</v>
      </c>
    </row>
    <row r="50" spans="1:3" x14ac:dyDescent="0.3">
      <c r="A50" s="3" t="s">
        <v>84</v>
      </c>
      <c r="B50" s="17">
        <v>8</v>
      </c>
    </row>
    <row r="51" spans="1:3" x14ac:dyDescent="0.3">
      <c r="A51" s="3" t="s">
        <v>134</v>
      </c>
      <c r="B51" s="17">
        <v>1</v>
      </c>
    </row>
    <row r="52" spans="1:3" x14ac:dyDescent="0.3">
      <c r="A52" s="3" t="s">
        <v>137</v>
      </c>
      <c r="B52" s="17">
        <v>1</v>
      </c>
    </row>
    <row r="53" spans="1:3" x14ac:dyDescent="0.3">
      <c r="A53" s="3" t="s">
        <v>141</v>
      </c>
      <c r="B53" s="17">
        <v>1</v>
      </c>
    </row>
    <row r="54" spans="1:3" x14ac:dyDescent="0.3">
      <c r="A54" s="3" t="s">
        <v>153</v>
      </c>
      <c r="B54" s="17">
        <v>320</v>
      </c>
    </row>
    <row r="60" spans="1:3" x14ac:dyDescent="0.3">
      <c r="A60" s="2" t="s">
        <v>159</v>
      </c>
      <c r="B60" s="2" t="s">
        <v>157</v>
      </c>
      <c r="C60" s="2" t="s">
        <v>158</v>
      </c>
    </row>
    <row r="61" spans="1:3" x14ac:dyDescent="0.3">
      <c r="A61" s="17">
        <v>123</v>
      </c>
      <c r="B61" s="6">
        <v>8.7590937499999999</v>
      </c>
      <c r="C61" s="7">
        <v>203.82627118644066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4"/>
  <sheetViews>
    <sheetView showGridLines="0" tabSelected="1" topLeftCell="A4" zoomScale="73" zoomScaleNormal="73" workbookViewId="0">
      <selection activeCell="Z23" sqref="Z23"/>
    </sheetView>
  </sheetViews>
  <sheetFormatPr defaultRowHeight="16.5" x14ac:dyDescent="0.3"/>
  <cols>
    <col min="1" max="1" width="9" style="11" customWidth="1"/>
    <col min="2" max="16384" width="9" style="11"/>
  </cols>
  <sheetData>
    <row r="1" spans="1:22" ht="59.25" customHeight="1" x14ac:dyDescent="0.7">
      <c r="A1" s="14"/>
      <c r="B1" s="18"/>
      <c r="C1" s="20" t="s">
        <v>160</v>
      </c>
      <c r="D1" s="20"/>
      <c r="E1" s="20"/>
      <c r="F1" s="20"/>
      <c r="G1" s="20"/>
      <c r="H1" s="20"/>
      <c r="I1" s="20"/>
      <c r="J1" s="20"/>
      <c r="K1" s="20"/>
      <c r="L1" s="20"/>
      <c r="M1" s="20"/>
      <c r="N1" s="20"/>
      <c r="O1" s="20"/>
      <c r="P1" s="20"/>
      <c r="Q1" s="20"/>
      <c r="R1" s="20"/>
      <c r="S1" s="20"/>
      <c r="T1" s="20"/>
      <c r="U1" s="20"/>
      <c r="V1" s="8"/>
    </row>
    <row r="2" spans="1:22" ht="17.25" x14ac:dyDescent="0.3">
      <c r="A2" s="15"/>
      <c r="B2" s="19"/>
      <c r="C2" s="21" t="s">
        <v>162</v>
      </c>
      <c r="D2" s="21"/>
      <c r="E2" s="21"/>
      <c r="F2" s="21"/>
      <c r="G2" s="21"/>
      <c r="H2" s="21"/>
      <c r="I2" s="21"/>
      <c r="J2" s="21"/>
      <c r="K2" s="21"/>
      <c r="L2" s="21"/>
      <c r="M2" s="21"/>
      <c r="N2" s="21"/>
      <c r="O2" s="21"/>
      <c r="P2" s="21"/>
      <c r="Q2" s="21"/>
      <c r="R2" s="21"/>
      <c r="S2" s="21"/>
      <c r="T2" s="21"/>
      <c r="U2" s="21"/>
      <c r="V2" s="8"/>
    </row>
    <row r="3" spans="1:22" x14ac:dyDescent="0.3">
      <c r="A3" s="12"/>
      <c r="B3" s="8"/>
      <c r="C3" s="8"/>
      <c r="D3" s="8"/>
      <c r="E3" s="8"/>
      <c r="F3" s="8"/>
      <c r="G3" s="8"/>
      <c r="H3" s="8"/>
      <c r="I3" s="8"/>
      <c r="J3" s="8"/>
      <c r="K3" s="8"/>
      <c r="L3" s="8"/>
      <c r="M3" s="8"/>
      <c r="N3" s="8"/>
      <c r="O3" s="8"/>
      <c r="P3" s="8"/>
      <c r="Q3" s="8"/>
      <c r="R3" s="8"/>
      <c r="S3" s="8"/>
      <c r="T3" s="8"/>
      <c r="U3" s="8"/>
      <c r="V3" s="8"/>
    </row>
    <row r="4" spans="1:22" x14ac:dyDescent="0.3">
      <c r="A4" s="13"/>
      <c r="B4" s="8"/>
      <c r="C4" s="8"/>
      <c r="D4" s="8"/>
      <c r="E4" s="8"/>
      <c r="F4" s="8"/>
      <c r="G4" s="8"/>
      <c r="H4" s="8"/>
      <c r="I4" s="8"/>
      <c r="J4" s="8"/>
      <c r="K4" s="8"/>
      <c r="L4" s="8"/>
      <c r="M4" s="8"/>
      <c r="N4" s="8"/>
      <c r="O4" s="8"/>
      <c r="P4" s="8"/>
      <c r="Q4" s="8"/>
      <c r="R4" s="8"/>
      <c r="S4" s="8"/>
      <c r="T4" s="8"/>
      <c r="U4" s="8"/>
      <c r="V4" s="8"/>
    </row>
    <row r="5" spans="1:22" x14ac:dyDescent="0.3">
      <c r="A5" s="11">
        <f>GETPIVOTDATA("[Measures].[Distinct Count of title]",pivot_data!$A$60)</f>
        <v>123</v>
      </c>
      <c r="B5" s="8"/>
      <c r="C5" s="9">
        <f>GETPIVOTDATA("[Measures].[Average of score]",pivot_data!$A$60)</f>
        <v>8.7590937499999999</v>
      </c>
      <c r="D5" s="8"/>
      <c r="E5" s="10"/>
      <c r="F5" s="8"/>
      <c r="G5" s="8"/>
      <c r="H5" s="10"/>
      <c r="I5" s="10"/>
      <c r="J5" s="8"/>
      <c r="K5" s="10">
        <f>GETPIVOTDATA("[Measures].[Average of duration_days]",pivot_data!$A$60)</f>
        <v>203.82627118644066</v>
      </c>
      <c r="L5" s="8"/>
      <c r="M5" s="8"/>
      <c r="N5" s="8"/>
      <c r="O5" s="8"/>
      <c r="P5" s="8"/>
      <c r="Q5" s="8"/>
      <c r="R5" s="8"/>
      <c r="S5" s="8"/>
      <c r="T5" s="8"/>
      <c r="U5" s="8"/>
      <c r="V5" s="8"/>
    </row>
    <row r="6" spans="1:22" x14ac:dyDescent="0.3">
      <c r="B6" s="8"/>
      <c r="C6" s="8"/>
      <c r="D6" s="8"/>
      <c r="E6" s="8"/>
      <c r="F6" s="8"/>
      <c r="G6" s="8"/>
      <c r="H6" s="8"/>
      <c r="I6" s="8"/>
      <c r="J6" s="8"/>
      <c r="K6" s="8"/>
      <c r="L6" s="8"/>
      <c r="M6" s="8"/>
      <c r="N6" s="8"/>
      <c r="O6" s="8"/>
      <c r="P6" s="8"/>
      <c r="Q6" s="8"/>
      <c r="R6" s="8"/>
      <c r="S6" s="8"/>
      <c r="T6" s="8"/>
      <c r="U6" s="8"/>
      <c r="V6" s="8"/>
    </row>
    <row r="7" spans="1:22" x14ac:dyDescent="0.3">
      <c r="B7" s="8"/>
      <c r="C7" s="8"/>
      <c r="D7" s="8"/>
      <c r="E7" s="8"/>
      <c r="F7" s="8"/>
      <c r="G7" s="8"/>
      <c r="H7" s="8"/>
      <c r="I7" s="8"/>
      <c r="J7" s="8"/>
      <c r="K7" s="8"/>
      <c r="L7" s="8"/>
      <c r="M7" s="8"/>
      <c r="N7" s="8"/>
      <c r="O7" s="8"/>
      <c r="P7" s="8"/>
      <c r="Q7" s="8"/>
      <c r="R7" s="8"/>
      <c r="S7" s="8"/>
      <c r="T7" s="8"/>
      <c r="U7" s="8"/>
      <c r="V7" s="8"/>
    </row>
    <row r="8" spans="1:22" x14ac:dyDescent="0.3">
      <c r="B8" s="8"/>
      <c r="C8" s="8"/>
      <c r="D8" s="8"/>
      <c r="E8" s="8"/>
      <c r="F8" s="8"/>
      <c r="G8" s="8"/>
      <c r="H8" s="8"/>
      <c r="I8" s="8"/>
      <c r="J8" s="8"/>
      <c r="K8" s="8"/>
      <c r="L8" s="8"/>
      <c r="M8" s="8"/>
      <c r="N8" s="8"/>
      <c r="O8" s="8"/>
      <c r="P8" s="8"/>
      <c r="Q8" s="8"/>
      <c r="R8" s="8"/>
      <c r="S8" s="8"/>
      <c r="T8" s="8"/>
      <c r="U8" s="8"/>
      <c r="V8" s="8"/>
    </row>
    <row r="9" spans="1:22" x14ac:dyDescent="0.3">
      <c r="B9" s="8"/>
      <c r="C9" s="8"/>
      <c r="D9" s="8"/>
      <c r="E9" s="8"/>
      <c r="F9" s="8"/>
      <c r="G9" s="8"/>
      <c r="H9" s="8"/>
      <c r="I9" s="8"/>
      <c r="J9" s="8"/>
      <c r="K9" s="8"/>
      <c r="L9" s="8"/>
      <c r="M9" s="8"/>
      <c r="N9" s="8"/>
      <c r="O9" s="8"/>
      <c r="P9" s="8"/>
      <c r="Q9" s="8"/>
      <c r="R9" s="8"/>
      <c r="S9" s="8"/>
      <c r="T9" s="8"/>
      <c r="U9" s="8"/>
      <c r="V9" s="8"/>
    </row>
    <row r="10" spans="1:22" x14ac:dyDescent="0.3">
      <c r="B10" s="8"/>
      <c r="C10" s="8"/>
      <c r="D10" s="8"/>
      <c r="E10" s="8"/>
      <c r="F10" s="8"/>
      <c r="G10" s="8"/>
      <c r="H10" s="8"/>
      <c r="I10" s="8"/>
      <c r="J10" s="8"/>
      <c r="K10" s="8"/>
      <c r="L10" s="8"/>
      <c r="M10" s="8"/>
      <c r="N10" s="8"/>
      <c r="O10" s="8"/>
      <c r="P10" s="8"/>
      <c r="Q10" s="8"/>
      <c r="R10" s="8"/>
      <c r="S10" s="8"/>
      <c r="T10" s="8"/>
      <c r="U10" s="8"/>
      <c r="V10" s="8"/>
    </row>
    <row r="11" spans="1:22" x14ac:dyDescent="0.3">
      <c r="B11" s="8"/>
      <c r="C11" s="8"/>
      <c r="D11" s="8"/>
      <c r="E11" s="8"/>
      <c r="F11" s="8"/>
      <c r="G11" s="8"/>
      <c r="H11" s="8"/>
      <c r="I11" s="8"/>
      <c r="J11" s="8"/>
      <c r="K11" s="8"/>
      <c r="L11" s="8"/>
      <c r="M11" s="8"/>
      <c r="N11" s="8"/>
      <c r="O11" s="8"/>
      <c r="P11" s="8"/>
      <c r="Q11" s="8"/>
      <c r="R11" s="8"/>
      <c r="S11" s="8"/>
      <c r="T11" s="8"/>
      <c r="U11" s="8"/>
      <c r="V11" s="8"/>
    </row>
    <row r="12" spans="1:22" x14ac:dyDescent="0.3">
      <c r="B12" s="8"/>
      <c r="C12" s="8"/>
      <c r="D12" s="8"/>
      <c r="E12" s="8"/>
      <c r="F12" s="8"/>
      <c r="G12" s="8"/>
      <c r="H12" s="8"/>
      <c r="I12" s="8"/>
      <c r="J12" s="8"/>
      <c r="K12" s="8"/>
      <c r="L12" s="8"/>
      <c r="M12" s="8"/>
      <c r="N12" s="8"/>
      <c r="O12" s="8"/>
      <c r="P12" s="8"/>
      <c r="Q12" s="8"/>
      <c r="R12" s="8"/>
      <c r="S12" s="8"/>
      <c r="T12" s="8"/>
      <c r="U12" s="8"/>
      <c r="V12" s="8"/>
    </row>
    <row r="13" spans="1:22" x14ac:dyDescent="0.3">
      <c r="B13" s="8"/>
      <c r="C13" s="8"/>
      <c r="D13" s="8"/>
      <c r="E13" s="8"/>
      <c r="F13" s="8"/>
      <c r="G13" s="8"/>
      <c r="H13" s="8"/>
      <c r="I13" s="8"/>
      <c r="J13" s="8"/>
      <c r="K13" s="8"/>
      <c r="L13" s="8"/>
      <c r="M13" s="8"/>
      <c r="N13" s="8"/>
      <c r="O13" s="8"/>
      <c r="P13" s="8"/>
      <c r="Q13" s="8"/>
      <c r="R13" s="8"/>
      <c r="S13" s="8"/>
      <c r="T13" s="8"/>
      <c r="U13" s="8"/>
      <c r="V13" s="8"/>
    </row>
    <row r="14" spans="1:22" x14ac:dyDescent="0.3">
      <c r="B14" s="8"/>
      <c r="C14" s="8"/>
      <c r="D14" s="8"/>
      <c r="E14" s="8"/>
      <c r="F14" s="8"/>
      <c r="G14" s="8"/>
      <c r="H14" s="8"/>
      <c r="I14" s="8"/>
      <c r="J14" s="8"/>
      <c r="K14" s="8"/>
      <c r="L14" s="8"/>
      <c r="M14" s="8"/>
      <c r="N14" s="8"/>
      <c r="O14" s="8"/>
      <c r="P14" s="8"/>
      <c r="Q14" s="8"/>
      <c r="R14" s="8"/>
      <c r="S14" s="8"/>
      <c r="T14" s="8"/>
      <c r="U14" s="8"/>
      <c r="V14" s="8"/>
    </row>
    <row r="15" spans="1:22" x14ac:dyDescent="0.3">
      <c r="B15" s="8"/>
      <c r="C15" s="8"/>
      <c r="D15" s="8"/>
      <c r="E15" s="8"/>
      <c r="F15" s="8"/>
      <c r="G15" s="8"/>
      <c r="H15" s="8"/>
      <c r="I15" s="8"/>
      <c r="J15" s="8"/>
      <c r="K15" s="8"/>
      <c r="L15" s="8"/>
      <c r="M15" s="8"/>
      <c r="N15" s="8"/>
      <c r="O15" s="8"/>
      <c r="P15" s="8"/>
      <c r="Q15" s="8"/>
      <c r="R15" s="8"/>
      <c r="S15" s="8"/>
      <c r="T15" s="8"/>
      <c r="U15" s="8"/>
      <c r="V15" s="8"/>
    </row>
    <row r="16" spans="1:22" x14ac:dyDescent="0.3">
      <c r="B16" s="8"/>
      <c r="C16" s="8"/>
      <c r="D16" s="8"/>
      <c r="E16" s="8"/>
      <c r="F16" s="8"/>
      <c r="G16" s="8"/>
      <c r="H16" s="8"/>
      <c r="I16" s="8"/>
      <c r="J16" s="8"/>
      <c r="K16" s="8"/>
      <c r="L16" s="8"/>
      <c r="M16" s="8"/>
      <c r="N16" s="8"/>
      <c r="O16" s="8"/>
      <c r="P16" s="8"/>
      <c r="Q16" s="8"/>
      <c r="R16" s="8"/>
      <c r="S16" s="8"/>
      <c r="T16" s="8"/>
      <c r="U16" s="8"/>
      <c r="V16" s="8"/>
    </row>
    <row r="17" spans="2:22" x14ac:dyDescent="0.3">
      <c r="B17" s="8"/>
      <c r="C17" s="8"/>
      <c r="D17" s="8"/>
      <c r="E17" s="8"/>
      <c r="F17" s="8"/>
      <c r="G17" s="8"/>
      <c r="H17" s="8"/>
      <c r="I17" s="8"/>
      <c r="J17" s="8"/>
      <c r="K17" s="8"/>
      <c r="L17" s="8"/>
      <c r="M17" s="8"/>
      <c r="N17" s="8"/>
      <c r="O17" s="8"/>
      <c r="P17" s="8"/>
      <c r="Q17" s="8"/>
      <c r="R17" s="8"/>
      <c r="S17" s="8"/>
      <c r="T17" s="8"/>
      <c r="U17" s="8"/>
      <c r="V17" s="8"/>
    </row>
    <row r="18" spans="2:22" x14ac:dyDescent="0.3">
      <c r="B18" s="8"/>
      <c r="C18" s="8"/>
      <c r="D18" s="8"/>
      <c r="E18" s="8"/>
      <c r="F18" s="8"/>
      <c r="G18" s="8"/>
      <c r="H18" s="8"/>
      <c r="I18" s="8"/>
      <c r="J18" s="8"/>
      <c r="K18" s="8"/>
      <c r="L18" s="8"/>
      <c r="M18" s="8"/>
      <c r="N18" s="8"/>
      <c r="O18" s="8"/>
      <c r="P18" s="8"/>
      <c r="Q18" s="8"/>
      <c r="R18" s="8"/>
      <c r="S18" s="8"/>
      <c r="T18" s="8"/>
      <c r="U18" s="8"/>
      <c r="V18" s="8"/>
    </row>
    <row r="19" spans="2:22" x14ac:dyDescent="0.3">
      <c r="B19" s="8"/>
      <c r="C19" s="8"/>
      <c r="D19" s="8"/>
      <c r="E19" s="8"/>
      <c r="F19" s="8"/>
      <c r="G19" s="8"/>
      <c r="H19" s="8"/>
      <c r="I19" s="8"/>
      <c r="J19" s="8"/>
      <c r="K19" s="8"/>
      <c r="L19" s="8"/>
      <c r="M19" s="8"/>
      <c r="N19" s="8"/>
      <c r="O19" s="8"/>
      <c r="P19" s="8"/>
      <c r="Q19" s="8"/>
      <c r="R19" s="8"/>
      <c r="S19" s="8"/>
      <c r="T19" s="8"/>
      <c r="U19" s="8"/>
      <c r="V19" s="8"/>
    </row>
    <row r="20" spans="2:22" x14ac:dyDescent="0.3">
      <c r="B20" s="8"/>
      <c r="C20" s="8"/>
      <c r="D20" s="8"/>
      <c r="E20" s="8"/>
      <c r="F20" s="8"/>
      <c r="G20" s="8"/>
      <c r="H20" s="8"/>
      <c r="I20" s="8"/>
      <c r="J20" s="8"/>
      <c r="K20" s="8"/>
      <c r="L20" s="8"/>
      <c r="M20" s="8"/>
      <c r="N20" s="8"/>
      <c r="O20" s="8"/>
      <c r="P20" s="8"/>
      <c r="Q20" s="8"/>
      <c r="R20" s="8"/>
      <c r="S20" s="8"/>
      <c r="T20" s="8"/>
      <c r="U20" s="8"/>
      <c r="V20" s="8"/>
    </row>
    <row r="21" spans="2:22" x14ac:dyDescent="0.3">
      <c r="B21" s="8"/>
      <c r="C21" s="8"/>
      <c r="D21" s="8"/>
      <c r="E21" s="8"/>
      <c r="F21" s="8"/>
      <c r="G21" s="8"/>
      <c r="H21" s="8"/>
      <c r="I21" s="8"/>
      <c r="J21" s="8"/>
      <c r="K21" s="8"/>
      <c r="L21" s="8"/>
      <c r="M21" s="8"/>
      <c r="N21" s="8"/>
      <c r="O21" s="8"/>
      <c r="P21" s="8"/>
      <c r="Q21" s="8"/>
      <c r="R21" s="8"/>
      <c r="S21" s="8"/>
      <c r="T21" s="8"/>
      <c r="U21" s="8"/>
      <c r="V21" s="8"/>
    </row>
    <row r="22" spans="2:22" x14ac:dyDescent="0.3">
      <c r="B22" s="8"/>
      <c r="C22" s="8"/>
      <c r="D22" s="8"/>
      <c r="E22" s="8"/>
      <c r="F22" s="8"/>
      <c r="G22" s="8"/>
      <c r="H22" s="8"/>
      <c r="I22" s="8"/>
      <c r="J22" s="8"/>
      <c r="K22" s="8"/>
      <c r="L22" s="8"/>
      <c r="M22" s="8"/>
      <c r="N22" s="8"/>
      <c r="O22" s="8"/>
      <c r="P22" s="8"/>
      <c r="Q22" s="8"/>
      <c r="R22" s="8"/>
      <c r="S22" s="8"/>
      <c r="T22" s="8"/>
      <c r="U22" s="8"/>
      <c r="V22" s="8"/>
    </row>
    <row r="23" spans="2:22" x14ac:dyDescent="0.3">
      <c r="B23" s="8"/>
      <c r="C23" s="8"/>
      <c r="D23" s="8"/>
      <c r="E23" s="8"/>
      <c r="F23" s="8"/>
      <c r="G23" s="8"/>
      <c r="H23" s="8"/>
      <c r="I23" s="8"/>
      <c r="J23" s="8"/>
      <c r="K23" s="8"/>
      <c r="L23" s="8"/>
      <c r="M23" s="8"/>
      <c r="N23" s="8"/>
      <c r="O23" s="8"/>
      <c r="P23" s="8"/>
      <c r="Q23" s="8"/>
      <c r="R23" s="8"/>
      <c r="S23" s="8"/>
      <c r="T23" s="8"/>
      <c r="U23" s="8"/>
      <c r="V23" s="8"/>
    </row>
    <row r="24" spans="2:22" x14ac:dyDescent="0.3">
      <c r="B24" s="8"/>
      <c r="C24" s="8"/>
      <c r="D24" s="8"/>
      <c r="E24" s="8"/>
      <c r="F24" s="8"/>
      <c r="G24" s="8"/>
      <c r="H24" s="8"/>
      <c r="I24" s="8"/>
      <c r="J24" s="8"/>
      <c r="K24" s="8"/>
      <c r="L24" s="8"/>
      <c r="M24" s="8"/>
      <c r="N24" s="8"/>
      <c r="O24" s="8"/>
      <c r="P24" s="8"/>
      <c r="Q24" s="8"/>
      <c r="R24" s="8"/>
      <c r="S24" s="8"/>
      <c r="T24" s="8"/>
      <c r="U24" s="8"/>
      <c r="V24" s="8"/>
    </row>
    <row r="25" spans="2:22" x14ac:dyDescent="0.3">
      <c r="B25" s="8"/>
      <c r="C25" s="8"/>
      <c r="D25" s="8"/>
      <c r="E25" s="8"/>
      <c r="F25" s="8"/>
      <c r="G25" s="8"/>
      <c r="H25" s="8"/>
      <c r="I25" s="8"/>
      <c r="J25" s="8"/>
      <c r="K25" s="8"/>
      <c r="L25" s="8"/>
      <c r="M25" s="8"/>
      <c r="N25" s="8"/>
      <c r="O25" s="8"/>
      <c r="P25" s="8"/>
      <c r="Q25" s="8"/>
      <c r="R25" s="8"/>
      <c r="S25" s="8"/>
      <c r="T25" s="8"/>
      <c r="U25" s="8"/>
      <c r="V25" s="8"/>
    </row>
    <row r="26" spans="2:22" x14ac:dyDescent="0.3">
      <c r="B26" s="8"/>
      <c r="C26" s="8"/>
      <c r="D26" s="8"/>
      <c r="E26" s="8"/>
      <c r="F26" s="8"/>
      <c r="G26" s="8"/>
      <c r="H26" s="8"/>
      <c r="I26" s="8"/>
      <c r="J26" s="8"/>
      <c r="K26" s="8"/>
      <c r="L26" s="8"/>
      <c r="M26" s="8"/>
      <c r="N26" s="8"/>
      <c r="O26" s="8"/>
      <c r="P26" s="8"/>
      <c r="Q26" s="8"/>
      <c r="R26" s="8"/>
      <c r="S26" s="8"/>
      <c r="T26" s="8"/>
      <c r="U26" s="8"/>
      <c r="V26" s="8"/>
    </row>
    <row r="27" spans="2:22" x14ac:dyDescent="0.3">
      <c r="B27" s="8"/>
      <c r="C27" s="8"/>
      <c r="D27" s="8"/>
      <c r="E27" s="8"/>
      <c r="F27" s="8"/>
      <c r="G27" s="8"/>
      <c r="H27" s="8"/>
      <c r="I27" s="8"/>
      <c r="J27" s="8"/>
      <c r="K27" s="8"/>
      <c r="L27" s="8"/>
      <c r="M27" s="8"/>
      <c r="N27" s="8"/>
      <c r="O27" s="8"/>
      <c r="P27" s="8"/>
      <c r="Q27" s="8"/>
      <c r="R27" s="8"/>
      <c r="S27" s="8"/>
      <c r="T27" s="8"/>
      <c r="U27" s="8"/>
      <c r="V27" s="8"/>
    </row>
    <row r="28" spans="2:22" x14ac:dyDescent="0.3">
      <c r="B28" s="8"/>
      <c r="C28" s="8"/>
      <c r="D28" s="8"/>
      <c r="E28" s="8"/>
      <c r="F28" s="8"/>
      <c r="G28" s="8"/>
      <c r="H28" s="8"/>
      <c r="I28" s="8"/>
      <c r="J28" s="8"/>
      <c r="K28" s="8"/>
      <c r="L28" s="8"/>
      <c r="M28" s="8"/>
      <c r="N28" s="8"/>
      <c r="O28" s="8"/>
      <c r="P28" s="8"/>
      <c r="Q28" s="8"/>
      <c r="R28" s="8"/>
      <c r="S28" s="8"/>
      <c r="T28" s="8"/>
      <c r="U28" s="8"/>
      <c r="V28" s="8"/>
    </row>
    <row r="29" spans="2:22" x14ac:dyDescent="0.3">
      <c r="B29" s="8"/>
      <c r="C29" s="8"/>
      <c r="D29" s="8"/>
      <c r="E29" s="8"/>
      <c r="F29" s="8"/>
      <c r="G29" s="8"/>
      <c r="H29" s="8"/>
      <c r="I29" s="8"/>
      <c r="J29" s="8"/>
      <c r="K29" s="8"/>
      <c r="L29" s="8"/>
      <c r="M29" s="8"/>
      <c r="N29" s="8"/>
      <c r="O29" s="8"/>
      <c r="P29" s="8"/>
      <c r="Q29" s="8"/>
      <c r="R29" s="8"/>
      <c r="S29" s="8"/>
      <c r="T29" s="8"/>
      <c r="U29" s="8"/>
      <c r="V29" s="8"/>
    </row>
    <row r="30" spans="2:22" x14ac:dyDescent="0.3">
      <c r="B30" s="8"/>
      <c r="C30" s="8"/>
      <c r="D30" s="8"/>
      <c r="E30" s="8"/>
      <c r="F30" s="8"/>
      <c r="G30" s="8"/>
      <c r="H30" s="8"/>
      <c r="I30" s="8"/>
      <c r="J30" s="8"/>
      <c r="K30" s="8"/>
      <c r="L30" s="8"/>
      <c r="M30" s="8"/>
      <c r="N30" s="8"/>
      <c r="O30" s="8"/>
      <c r="P30" s="8"/>
      <c r="Q30" s="8"/>
      <c r="R30" s="8"/>
      <c r="S30" s="8"/>
      <c r="T30" s="8"/>
      <c r="U30" s="8"/>
      <c r="V30" s="8"/>
    </row>
    <row r="31" spans="2:22" x14ac:dyDescent="0.3">
      <c r="B31" s="8"/>
      <c r="C31" s="8"/>
      <c r="D31" s="8"/>
      <c r="E31" s="8"/>
      <c r="F31" s="8"/>
      <c r="G31" s="8"/>
      <c r="H31" s="8"/>
      <c r="I31" s="8"/>
      <c r="J31" s="8"/>
      <c r="K31" s="8"/>
      <c r="L31" s="8"/>
      <c r="M31" s="8"/>
      <c r="N31" s="8"/>
      <c r="O31" s="8"/>
      <c r="P31" s="8"/>
      <c r="Q31" s="8"/>
      <c r="R31" s="8"/>
      <c r="S31" s="8"/>
      <c r="T31" s="8"/>
      <c r="U31" s="8"/>
      <c r="V31" s="8"/>
    </row>
    <row r="32" spans="2:22" x14ac:dyDescent="0.3">
      <c r="B32" s="8"/>
      <c r="C32" s="8"/>
      <c r="D32" s="8"/>
      <c r="E32" s="8"/>
      <c r="F32" s="8"/>
      <c r="G32" s="8"/>
      <c r="H32" s="8"/>
      <c r="I32" s="8"/>
      <c r="J32" s="8"/>
      <c r="K32" s="8"/>
      <c r="L32" s="8"/>
      <c r="M32" s="8"/>
      <c r="N32" s="8"/>
      <c r="O32" s="8"/>
      <c r="P32" s="8"/>
      <c r="Q32" s="8"/>
      <c r="R32" s="8"/>
      <c r="S32" s="8"/>
      <c r="T32" s="8"/>
      <c r="U32" s="8"/>
      <c r="V32" s="8"/>
    </row>
    <row r="33" spans="2:22" x14ac:dyDescent="0.3">
      <c r="B33" s="8"/>
      <c r="C33" s="8"/>
      <c r="D33" s="8"/>
      <c r="E33" s="8"/>
      <c r="F33" s="8"/>
      <c r="G33" s="8"/>
      <c r="H33" s="8"/>
      <c r="I33" s="8"/>
      <c r="J33" s="8"/>
      <c r="K33" s="8"/>
      <c r="L33" s="8"/>
      <c r="M33" s="8"/>
      <c r="N33" s="8"/>
      <c r="O33" s="8"/>
      <c r="P33" s="8"/>
      <c r="Q33" s="8"/>
      <c r="R33" s="8"/>
      <c r="S33" s="8"/>
      <c r="T33" s="8"/>
      <c r="U33" s="8"/>
      <c r="V33" s="8"/>
    </row>
    <row r="34" spans="2:22" x14ac:dyDescent="0.3">
      <c r="B34" s="8"/>
      <c r="C34" s="8"/>
      <c r="D34" s="8"/>
      <c r="E34" s="8"/>
      <c r="F34" s="8"/>
      <c r="G34" s="8"/>
      <c r="H34" s="8"/>
      <c r="I34" s="8"/>
      <c r="J34" s="8"/>
      <c r="K34" s="8"/>
      <c r="L34" s="8"/>
      <c r="M34" s="8"/>
      <c r="N34" s="8"/>
      <c r="O34" s="8"/>
      <c r="P34" s="8"/>
      <c r="Q34" s="8"/>
      <c r="R34" s="8"/>
      <c r="S34" s="8"/>
      <c r="T34" s="8"/>
      <c r="U34" s="8"/>
      <c r="V34" s="8"/>
    </row>
    <row r="35" spans="2:22" x14ac:dyDescent="0.3">
      <c r="B35" s="8"/>
      <c r="C35" s="8"/>
      <c r="D35" s="8"/>
      <c r="E35" s="8"/>
      <c r="F35" s="8"/>
      <c r="G35" s="8"/>
      <c r="H35" s="8"/>
      <c r="I35" s="8"/>
      <c r="J35" s="8"/>
      <c r="K35" s="8"/>
      <c r="L35" s="8"/>
      <c r="M35" s="8"/>
      <c r="N35" s="8"/>
      <c r="O35" s="8"/>
      <c r="P35" s="8"/>
      <c r="Q35" s="8"/>
      <c r="R35" s="8"/>
      <c r="S35" s="8"/>
      <c r="T35" s="8"/>
      <c r="U35" s="8"/>
      <c r="V35" s="8"/>
    </row>
    <row r="36" spans="2:22" x14ac:dyDescent="0.3">
      <c r="B36" s="8"/>
      <c r="C36" s="8"/>
      <c r="D36" s="8"/>
      <c r="E36" s="8"/>
      <c r="F36" s="8"/>
      <c r="G36" s="8"/>
      <c r="H36" s="8"/>
      <c r="I36" s="8"/>
      <c r="J36" s="8"/>
      <c r="K36" s="8"/>
      <c r="L36" s="8"/>
      <c r="M36" s="8"/>
      <c r="N36" s="8"/>
      <c r="O36" s="8"/>
      <c r="P36" s="8"/>
      <c r="Q36" s="8"/>
      <c r="R36" s="8"/>
      <c r="S36" s="8"/>
      <c r="T36" s="8"/>
      <c r="U36" s="8"/>
      <c r="V36" s="8"/>
    </row>
    <row r="37" spans="2:22" x14ac:dyDescent="0.3">
      <c r="B37" s="8"/>
      <c r="C37" s="8"/>
      <c r="D37" s="8"/>
      <c r="E37" s="8"/>
      <c r="F37" s="8"/>
      <c r="G37" s="8"/>
      <c r="H37" s="8"/>
      <c r="I37" s="8"/>
      <c r="J37" s="8"/>
      <c r="K37" s="8"/>
      <c r="L37" s="8"/>
      <c r="M37" s="8"/>
      <c r="N37" s="8"/>
      <c r="O37" s="8"/>
      <c r="P37" s="8"/>
      <c r="Q37" s="8"/>
      <c r="R37" s="8"/>
      <c r="S37" s="8"/>
      <c r="T37" s="8"/>
      <c r="U37" s="8"/>
      <c r="V37" s="8"/>
    </row>
    <row r="38" spans="2:22" x14ac:dyDescent="0.3">
      <c r="B38" s="8"/>
      <c r="C38" s="8"/>
      <c r="D38" s="8"/>
      <c r="E38" s="8"/>
      <c r="F38" s="8"/>
      <c r="G38" s="8"/>
      <c r="H38" s="8"/>
      <c r="I38" s="8"/>
      <c r="J38" s="8"/>
      <c r="K38" s="8"/>
      <c r="L38" s="8"/>
      <c r="M38" s="8"/>
      <c r="N38" s="8"/>
      <c r="O38" s="8"/>
      <c r="P38" s="8"/>
      <c r="Q38" s="8"/>
      <c r="R38" s="8"/>
      <c r="S38" s="8"/>
      <c r="T38" s="8"/>
      <c r="U38" s="8"/>
      <c r="V38" s="8"/>
    </row>
    <row r="39" spans="2:22" x14ac:dyDescent="0.3">
      <c r="B39" s="8"/>
      <c r="C39" s="8"/>
      <c r="D39" s="8"/>
      <c r="E39" s="8"/>
      <c r="F39" s="8"/>
      <c r="G39" s="8"/>
      <c r="H39" s="8"/>
      <c r="I39" s="8"/>
      <c r="J39" s="8"/>
      <c r="K39" s="8"/>
      <c r="L39" s="8"/>
      <c r="M39" s="8"/>
      <c r="N39" s="8"/>
      <c r="O39" s="8"/>
      <c r="P39" s="8"/>
      <c r="Q39" s="8"/>
      <c r="R39" s="8"/>
      <c r="S39" s="8"/>
      <c r="T39" s="8"/>
      <c r="U39" s="8"/>
      <c r="V39" s="8"/>
    </row>
    <row r="40" spans="2:22" x14ac:dyDescent="0.3">
      <c r="B40" s="8"/>
      <c r="C40" s="8"/>
      <c r="D40" s="8"/>
      <c r="E40" s="8"/>
      <c r="F40" s="8"/>
      <c r="G40" s="8"/>
      <c r="H40" s="8"/>
      <c r="I40" s="8"/>
      <c r="J40" s="8"/>
      <c r="K40" s="8"/>
      <c r="L40" s="8"/>
      <c r="M40" s="8"/>
      <c r="N40" s="8"/>
      <c r="O40" s="8"/>
      <c r="P40" s="8"/>
      <c r="Q40" s="8"/>
      <c r="R40" s="8"/>
      <c r="S40" s="8"/>
      <c r="T40" s="8"/>
      <c r="U40" s="8"/>
      <c r="V40" s="8"/>
    </row>
    <row r="41" spans="2:22" x14ac:dyDescent="0.3">
      <c r="B41" s="8"/>
      <c r="C41" s="8"/>
      <c r="D41" s="8"/>
      <c r="E41" s="8"/>
      <c r="F41" s="8"/>
      <c r="G41" s="8"/>
      <c r="H41" s="8"/>
      <c r="I41" s="8"/>
      <c r="J41" s="8"/>
      <c r="K41" s="8"/>
      <c r="L41" s="8"/>
      <c r="M41" s="8"/>
      <c r="N41" s="8"/>
      <c r="O41" s="8"/>
      <c r="P41" s="8"/>
      <c r="Q41" s="8"/>
      <c r="R41" s="8"/>
      <c r="S41" s="8"/>
      <c r="T41" s="8"/>
      <c r="U41" s="8"/>
      <c r="V41" s="8"/>
    </row>
    <row r="42" spans="2:22" x14ac:dyDescent="0.3">
      <c r="B42" s="8"/>
      <c r="C42" s="8"/>
      <c r="D42" s="8"/>
      <c r="E42" s="8"/>
      <c r="F42" s="8"/>
      <c r="G42" s="8"/>
      <c r="H42" s="8"/>
      <c r="I42" s="8"/>
      <c r="J42" s="8"/>
      <c r="K42" s="8"/>
      <c r="L42" s="8"/>
      <c r="M42" s="8"/>
      <c r="N42" s="8"/>
      <c r="O42" s="8"/>
      <c r="P42" s="8"/>
      <c r="Q42" s="8"/>
      <c r="R42" s="8"/>
      <c r="S42" s="8"/>
      <c r="T42" s="8"/>
      <c r="U42" s="8"/>
      <c r="V42" s="8"/>
    </row>
    <row r="43" spans="2:22" x14ac:dyDescent="0.3">
      <c r="B43" s="8"/>
      <c r="C43" s="8"/>
      <c r="D43" s="8"/>
      <c r="E43" s="8"/>
      <c r="F43" s="8"/>
      <c r="G43" s="8"/>
      <c r="H43" s="8"/>
      <c r="I43" s="8"/>
      <c r="J43" s="8"/>
      <c r="K43" s="8"/>
      <c r="L43" s="8"/>
      <c r="M43" s="8"/>
      <c r="N43" s="8"/>
      <c r="O43" s="8"/>
      <c r="P43" s="8"/>
      <c r="Q43" s="8"/>
      <c r="R43" s="8"/>
      <c r="S43" s="8"/>
      <c r="T43" s="8"/>
      <c r="U43" s="8"/>
      <c r="V43" s="8"/>
    </row>
    <row r="44" spans="2:22" x14ac:dyDescent="0.3">
      <c r="B44" s="8"/>
      <c r="C44" s="8"/>
      <c r="D44" s="8"/>
      <c r="E44" s="8"/>
      <c r="F44" s="8"/>
      <c r="G44" s="8"/>
      <c r="H44" s="8"/>
      <c r="I44" s="8"/>
      <c r="J44" s="8"/>
      <c r="K44" s="8"/>
      <c r="L44" s="8"/>
      <c r="M44" s="8"/>
      <c r="N44" s="8"/>
      <c r="O44" s="8"/>
      <c r="P44" s="8"/>
      <c r="Q44" s="8"/>
      <c r="R44" s="8"/>
      <c r="S44" s="8"/>
      <c r="T44" s="8"/>
      <c r="U44" s="8"/>
      <c r="V44" s="8"/>
    </row>
    <row r="45" spans="2:22" x14ac:dyDescent="0.3">
      <c r="B45" s="8"/>
      <c r="C45" s="8"/>
      <c r="D45" s="8"/>
      <c r="E45" s="8"/>
      <c r="F45" s="8"/>
      <c r="G45" s="8"/>
      <c r="H45" s="8"/>
      <c r="I45" s="8"/>
      <c r="J45" s="8"/>
      <c r="K45" s="8"/>
      <c r="L45" s="8"/>
      <c r="M45" s="8"/>
      <c r="N45" s="8"/>
      <c r="O45" s="8"/>
      <c r="P45" s="8"/>
      <c r="Q45" s="8"/>
      <c r="R45" s="8"/>
      <c r="S45" s="8"/>
      <c r="T45" s="8"/>
      <c r="U45" s="8"/>
      <c r="V45" s="8"/>
    </row>
    <row r="46" spans="2:22" x14ac:dyDescent="0.3">
      <c r="B46" s="8"/>
      <c r="C46" s="8"/>
      <c r="D46" s="8"/>
      <c r="E46" s="8"/>
      <c r="F46" s="8"/>
      <c r="G46" s="8"/>
      <c r="H46" s="8"/>
      <c r="I46" s="8"/>
      <c r="J46" s="8"/>
      <c r="K46" s="8"/>
      <c r="L46" s="8"/>
      <c r="M46" s="8"/>
      <c r="N46" s="8"/>
      <c r="O46" s="8"/>
      <c r="P46" s="8"/>
      <c r="Q46" s="8"/>
      <c r="R46" s="8"/>
      <c r="S46" s="8"/>
      <c r="T46" s="8"/>
      <c r="U46" s="8"/>
      <c r="V46" s="8"/>
    </row>
    <row r="47" spans="2:22" x14ac:dyDescent="0.3">
      <c r="B47" s="8"/>
      <c r="C47" s="8"/>
      <c r="D47" s="8"/>
      <c r="E47" s="8"/>
      <c r="F47" s="8"/>
      <c r="G47" s="8"/>
      <c r="H47" s="8"/>
      <c r="I47" s="8"/>
      <c r="J47" s="8"/>
      <c r="K47" s="8"/>
      <c r="L47" s="8"/>
      <c r="M47" s="8"/>
      <c r="N47" s="8"/>
      <c r="O47" s="8"/>
      <c r="P47" s="8"/>
      <c r="Q47" s="8"/>
      <c r="R47" s="8"/>
      <c r="S47" s="8"/>
      <c r="T47" s="8"/>
      <c r="U47" s="8"/>
      <c r="V47" s="8"/>
    </row>
    <row r="48" spans="2:22" x14ac:dyDescent="0.3">
      <c r="B48" s="8"/>
      <c r="C48" s="8"/>
      <c r="D48" s="8"/>
      <c r="E48" s="8"/>
      <c r="F48" s="8"/>
      <c r="G48" s="8"/>
      <c r="H48" s="8"/>
      <c r="I48" s="8"/>
      <c r="J48" s="8"/>
      <c r="K48" s="8"/>
      <c r="L48" s="8"/>
      <c r="M48" s="8"/>
      <c r="N48" s="8"/>
      <c r="O48" s="8"/>
      <c r="P48" s="8"/>
      <c r="Q48" s="8"/>
      <c r="R48" s="8"/>
      <c r="S48" s="8"/>
      <c r="T48" s="8"/>
      <c r="U48" s="8"/>
      <c r="V48" s="8"/>
    </row>
    <row r="49" spans="2:22" x14ac:dyDescent="0.3">
      <c r="B49" s="8"/>
      <c r="C49" s="8"/>
      <c r="D49" s="8"/>
      <c r="E49" s="8"/>
      <c r="F49" s="8"/>
      <c r="G49" s="8"/>
      <c r="H49" s="8"/>
      <c r="I49" s="8"/>
      <c r="J49" s="8"/>
      <c r="K49" s="8"/>
      <c r="L49" s="8"/>
      <c r="M49" s="8"/>
      <c r="N49" s="8"/>
      <c r="O49" s="8"/>
      <c r="P49" s="8"/>
      <c r="Q49" s="8"/>
      <c r="R49" s="8"/>
      <c r="S49" s="8"/>
      <c r="T49" s="8"/>
      <c r="U49" s="8"/>
      <c r="V49" s="8"/>
    </row>
    <row r="50" spans="2:22" x14ac:dyDescent="0.3">
      <c r="B50" s="8"/>
      <c r="C50" s="8"/>
      <c r="D50" s="8"/>
      <c r="E50" s="8"/>
      <c r="F50" s="8"/>
      <c r="G50" s="8"/>
      <c r="H50" s="8"/>
      <c r="I50" s="8"/>
      <c r="J50" s="8"/>
      <c r="K50" s="8"/>
      <c r="L50" s="8"/>
      <c r="M50" s="8"/>
      <c r="N50" s="8"/>
      <c r="O50" s="8"/>
      <c r="P50" s="8"/>
      <c r="Q50" s="8"/>
      <c r="R50" s="8"/>
      <c r="S50" s="8"/>
      <c r="T50" s="8"/>
      <c r="U50" s="8"/>
      <c r="V50" s="8"/>
    </row>
    <row r="51" spans="2:22" x14ac:dyDescent="0.3">
      <c r="B51" s="8"/>
      <c r="C51" s="8"/>
      <c r="D51" s="8"/>
      <c r="E51" s="8"/>
      <c r="F51" s="8"/>
      <c r="G51" s="8"/>
      <c r="H51" s="8"/>
      <c r="I51" s="8"/>
      <c r="J51" s="8"/>
      <c r="K51" s="8"/>
      <c r="L51" s="8"/>
      <c r="M51" s="8"/>
      <c r="N51" s="8"/>
      <c r="O51" s="8"/>
      <c r="P51" s="8"/>
      <c r="Q51" s="8"/>
      <c r="R51" s="8"/>
      <c r="S51" s="8"/>
      <c r="T51" s="8"/>
      <c r="U51" s="8"/>
      <c r="V51" s="8"/>
    </row>
    <row r="52" spans="2:22" x14ac:dyDescent="0.3">
      <c r="B52" s="8"/>
      <c r="C52" s="8"/>
      <c r="D52" s="8"/>
      <c r="E52" s="8"/>
      <c r="F52" s="8"/>
      <c r="G52" s="8"/>
      <c r="H52" s="8"/>
      <c r="I52" s="8"/>
      <c r="J52" s="8"/>
      <c r="K52" s="8"/>
      <c r="L52" s="8"/>
      <c r="M52" s="8"/>
      <c r="N52" s="8"/>
      <c r="O52" s="8"/>
      <c r="P52" s="8"/>
      <c r="Q52" s="8"/>
      <c r="R52" s="8"/>
      <c r="S52" s="8"/>
      <c r="T52" s="8"/>
      <c r="U52" s="8"/>
      <c r="V52" s="8"/>
    </row>
    <row r="53" spans="2:22" x14ac:dyDescent="0.3">
      <c r="B53" s="8"/>
      <c r="C53" s="8"/>
      <c r="D53" s="8"/>
      <c r="E53" s="8"/>
      <c r="F53" s="8"/>
      <c r="G53" s="8"/>
      <c r="H53" s="8"/>
      <c r="I53" s="8"/>
      <c r="J53" s="8"/>
      <c r="K53" s="8"/>
      <c r="L53" s="8"/>
      <c r="M53" s="8"/>
      <c r="N53" s="8"/>
      <c r="O53" s="8"/>
      <c r="P53" s="8"/>
      <c r="Q53" s="8"/>
      <c r="R53" s="8"/>
      <c r="S53" s="8"/>
      <c r="T53" s="8"/>
      <c r="U53" s="8"/>
      <c r="V53" s="8"/>
    </row>
    <row r="54" spans="2:22" x14ac:dyDescent="0.3">
      <c r="B54" s="8"/>
      <c r="C54" s="8"/>
      <c r="D54" s="8"/>
      <c r="E54" s="8"/>
      <c r="F54" s="8"/>
      <c r="G54" s="8"/>
      <c r="H54" s="8"/>
      <c r="I54" s="8"/>
      <c r="J54" s="8"/>
      <c r="K54" s="8"/>
      <c r="L54" s="8"/>
      <c r="M54" s="8"/>
      <c r="N54" s="8"/>
      <c r="O54" s="8"/>
      <c r="P54" s="8"/>
      <c r="Q54" s="8"/>
      <c r="R54" s="8"/>
      <c r="S54" s="8"/>
      <c r="T54" s="8"/>
      <c r="U54" s="8"/>
      <c r="V54" s="8"/>
    </row>
  </sheetData>
  <mergeCells count="2">
    <mergeCell ref="C1:U1"/>
    <mergeCell ref="C2:U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top_rank</vt:lpstr>
      <vt:lpstr>top_duration</vt:lpstr>
      <vt:lpstr>pivot_data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USER-WIN10</cp:lastModifiedBy>
  <dcterms:created xsi:type="dcterms:W3CDTF">2026-04-04T10:06:09Z</dcterms:created>
  <dcterms:modified xsi:type="dcterms:W3CDTF">2026-04-10T15:42:17Z</dcterms:modified>
</cp:coreProperties>
</file>